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3.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OneDrive - Hanoi University of Science and Technology\TaiLieuMonHoc\IT4240_QuanTriDuAn\documents\BTL\"/>
    </mc:Choice>
  </mc:AlternateContent>
  <xr:revisionPtr revIDLastSave="0" documentId="13_ncr:1_{BA1CE1B9-94A3-4CE4-B153-C8BB9C2E0752}" xr6:coauthVersionLast="45" xr6:coauthVersionMax="45" xr10:uidLastSave="{00000000-0000-0000-0000-000000000000}"/>
  <bookViews>
    <workbookView xWindow="-120" yWindow="-120" windowWidth="24240" windowHeight="13140" activeTab="3" xr2:uid="{C5F82AD5-0C7D-4A5C-A6AE-3B066EAA7326}"/>
  </bookViews>
  <sheets>
    <sheet name="SV" sheetId="22" r:id="rId1"/>
    <sheet name="Sheet1" sheetId="24" r:id="rId2"/>
    <sheet name="SV-QLDA-KTMT" sheetId="10" r:id="rId3"/>
    <sheet name="SV-QLDA-KTMT Q" sheetId="25" r:id="rId4"/>
  </sheets>
  <functionGroups builtInGroupCount="19"/>
  <definedNames>
    <definedName name="Slicer_Nhóm_bài_tập">#N/A</definedName>
    <definedName name="Slicer_Nhóm_bài_tập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2" i="25" l="1"/>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83" i="25"/>
  <c r="G84" i="25"/>
  <c r="G85" i="25"/>
  <c r="G86" i="25"/>
  <c r="G87" i="25"/>
  <c r="G21" i="25"/>
  <c r="G20" i="25"/>
  <c r="G19" i="25"/>
  <c r="G18" i="25"/>
  <c r="G17" i="25"/>
  <c r="G16" i="25"/>
  <c r="G15" i="25"/>
  <c r="G14" i="25"/>
  <c r="G13" i="25"/>
  <c r="G12" i="25"/>
  <c r="G11" i="25"/>
  <c r="G10" i="25"/>
  <c r="G9" i="25"/>
  <c r="G8" i="25"/>
  <c r="G7" i="25"/>
  <c r="G6" i="25"/>
  <c r="G5" i="25"/>
  <c r="G4" i="25"/>
  <c r="G3" i="25"/>
  <c r="G2" i="25"/>
  <c r="D114" i="22" l="1" a="1"/>
  <c r="D116" i="22" a="1"/>
  <c r="D118" i="22" a="1"/>
  <c r="D120" i="22" a="1"/>
  <c r="D122" i="22" a="1"/>
  <c r="D124" i="22" a="1"/>
  <c r="D117" i="22" a="1"/>
  <c r="D115" i="22" a="1"/>
  <c r="D119" i="22" a="1"/>
  <c r="D121" i="22" a="1"/>
  <c r="D123" i="22" a="1"/>
  <c r="D125" i="22" a="1"/>
  <c r="D126" i="22" a="1"/>
  <c r="D3" i="22" a="1"/>
  <c r="D5" i="22" a="1"/>
  <c r="D7" i="22" a="1"/>
  <c r="D9" i="22" a="1"/>
  <c r="D11" i="22" a="1"/>
  <c r="D13" i="22" a="1"/>
  <c r="D15" i="22" a="1"/>
  <c r="D17" i="22" a="1"/>
  <c r="D19" i="22" a="1"/>
  <c r="D21" i="22" a="1"/>
  <c r="D23" i="22" a="1"/>
  <c r="D25" i="22" a="1"/>
  <c r="D27" i="22" a="1"/>
  <c r="D29" i="22" a="1"/>
  <c r="D31" i="22" a="1"/>
  <c r="D33" i="22" a="1"/>
  <c r="D35" i="22" a="1"/>
  <c r="D37" i="22" a="1"/>
  <c r="D39" i="22" a="1"/>
  <c r="D41" i="22" a="1"/>
  <c r="D43" i="22" a="1"/>
  <c r="D45" i="22" a="1"/>
  <c r="D47" i="22" a="1"/>
  <c r="D49" i="22" a="1"/>
  <c r="D51" i="22" a="1"/>
  <c r="D53" i="22" a="1"/>
  <c r="D55" i="22" a="1"/>
  <c r="D57" i="22" a="1"/>
  <c r="D59" i="22" a="1"/>
  <c r="D61" i="22" a="1"/>
  <c r="D63" i="22" a="1"/>
  <c r="D65" i="22" a="1"/>
  <c r="D67" i="22" a="1"/>
  <c r="D69" i="22" a="1"/>
  <c r="D71" i="22" a="1"/>
  <c r="D73" i="22" a="1"/>
  <c r="D10" i="22" a="1"/>
  <c r="D24" i="22" a="1"/>
  <c r="D30" i="22" a="1"/>
  <c r="D34" i="22" a="1"/>
  <c r="D38" i="22" a="1"/>
  <c r="D42" i="22" a="1"/>
  <c r="D46" i="22" a="1"/>
  <c r="D48" i="22" a="1"/>
  <c r="D52" i="22" a="1"/>
  <c r="D56" i="22" a="1"/>
  <c r="D60" i="22" a="1"/>
  <c r="D64" i="22" a="1"/>
  <c r="D68" i="22" a="1"/>
  <c r="D70" i="22" a="1"/>
  <c r="D74" i="22" a="1"/>
  <c r="D78" i="22" a="1"/>
  <c r="D82" i="22" a="1"/>
  <c r="D84" i="22" a="1"/>
  <c r="D88" i="22" a="1"/>
  <c r="D92" i="22" a="1"/>
  <c r="D96" i="22" a="1"/>
  <c r="D100" i="22" a="1"/>
  <c r="D104" i="22" a="1"/>
  <c r="D108" i="22" a="1"/>
  <c r="D112" i="22" a="1"/>
  <c r="D4" i="22" a="1"/>
  <c r="D6" i="22" a="1"/>
  <c r="D8" i="22" a="1"/>
  <c r="D12" i="22" a="1"/>
  <c r="D14" i="22" a="1"/>
  <c r="D16" i="22" a="1"/>
  <c r="D18" i="22" a="1"/>
  <c r="D20" i="22" a="1"/>
  <c r="D22" i="22" a="1"/>
  <c r="D26" i="22" a="1"/>
  <c r="D28" i="22" a="1"/>
  <c r="D32" i="22" a="1"/>
  <c r="D36" i="22" a="1"/>
  <c r="D40" i="22" a="1"/>
  <c r="D44" i="22" a="1"/>
  <c r="D50" i="22" a="1"/>
  <c r="D54" i="22" a="1"/>
  <c r="D58" i="22" a="1"/>
  <c r="D62" i="22" a="1"/>
  <c r="D66" i="22" a="1"/>
  <c r="D72" i="22" a="1"/>
  <c r="D76" i="22" a="1"/>
  <c r="D80" i="22" a="1"/>
  <c r="D86" i="22" a="1"/>
  <c r="D90" i="22" a="1"/>
  <c r="D94" i="22" a="1"/>
  <c r="D98" i="22" a="1"/>
  <c r="D102" i="22" a="1"/>
  <c r="D106" i="22" a="1"/>
  <c r="D110" i="22" a="1"/>
  <c r="D81" i="22" a="1"/>
  <c r="D85" i="22" a="1"/>
  <c r="D93" i="22" a="1"/>
  <c r="D97" i="22" a="1"/>
  <c r="D101" i="22" a="1"/>
  <c r="D109" i="22" a="1"/>
  <c r="D113" i="22" a="1"/>
  <c r="D95" i="22" a="1"/>
  <c r="D107" i="22" a="1"/>
  <c r="D77" i="22" a="1"/>
  <c r="D89" i="22" a="1"/>
  <c r="D105" i="22" a="1"/>
  <c r="D99" i="22" a="1"/>
  <c r="D75" i="22" a="1"/>
  <c r="D79" i="22" a="1"/>
  <c r="D83" i="22" a="1"/>
  <c r="D87" i="22" a="1"/>
  <c r="D91" i="22" a="1"/>
  <c r="D103" i="22" a="1"/>
  <c r="D111" i="22" a="1"/>
  <c r="D126" i="22" l="1"/>
  <c r="D125" i="22"/>
  <c r="D123" i="22"/>
  <c r="D121" i="22"/>
  <c r="D119" i="22"/>
  <c r="D115" i="22"/>
  <c r="D117" i="22"/>
  <c r="D124" i="22"/>
  <c r="D122" i="22"/>
  <c r="D120" i="22"/>
  <c r="D118" i="22"/>
  <c r="D116" i="22"/>
  <c r="D114" i="22"/>
  <c r="D111" i="22"/>
  <c r="D103" i="22"/>
  <c r="D91" i="22"/>
  <c r="D87" i="22"/>
  <c r="D83" i="22"/>
  <c r="D79" i="22"/>
  <c r="D75" i="22"/>
  <c r="D99" i="22"/>
  <c r="D105" i="22"/>
  <c r="D89" i="22"/>
  <c r="D77" i="22"/>
  <c r="D107" i="22"/>
  <c r="D95" i="22"/>
  <c r="D113" i="22"/>
  <c r="D109" i="22"/>
  <c r="D101" i="22"/>
  <c r="D97" i="22"/>
  <c r="D93" i="22"/>
  <c r="D85" i="22"/>
  <c r="D81" i="22"/>
  <c r="D110" i="22"/>
  <c r="D106" i="22"/>
  <c r="D102" i="22"/>
  <c r="D98" i="22"/>
  <c r="D94" i="22"/>
  <c r="D90" i="22"/>
  <c r="D86" i="22"/>
  <c r="D80" i="22"/>
  <c r="D76" i="22"/>
  <c r="D72" i="22"/>
  <c r="D66" i="22"/>
  <c r="D62" i="22"/>
  <c r="D58" i="22"/>
  <c r="D54" i="22"/>
  <c r="D50" i="22"/>
  <c r="D44" i="22"/>
  <c r="D40" i="22"/>
  <c r="D36" i="22"/>
  <c r="D32" i="22"/>
  <c r="D28" i="22"/>
  <c r="D26" i="22"/>
  <c r="D22" i="22"/>
  <c r="D20" i="22"/>
  <c r="D18" i="22"/>
  <c r="D16" i="22"/>
  <c r="D14" i="22"/>
  <c r="D12" i="22"/>
  <c r="D8" i="22"/>
  <c r="D6" i="22"/>
  <c r="D4" i="22"/>
  <c r="D112" i="22"/>
  <c r="D108" i="22"/>
  <c r="D104" i="22"/>
  <c r="D100" i="22"/>
  <c r="D96" i="22"/>
  <c r="D92" i="22"/>
  <c r="D88" i="22"/>
  <c r="D84" i="22"/>
  <c r="D82" i="22"/>
  <c r="D78" i="22"/>
  <c r="D74" i="22"/>
  <c r="D70" i="22"/>
  <c r="D68" i="22"/>
  <c r="D64" i="22"/>
  <c r="D60" i="22"/>
  <c r="D56" i="22"/>
  <c r="D52" i="22"/>
  <c r="D48" i="22"/>
  <c r="D46" i="22"/>
  <c r="D42" i="22"/>
  <c r="D38" i="22"/>
  <c r="D34" i="22"/>
  <c r="D30" i="22"/>
  <c r="D24" i="22"/>
  <c r="D10" i="22"/>
  <c r="D73" i="22"/>
  <c r="D71" i="22"/>
  <c r="D69" i="22"/>
  <c r="D67" i="22"/>
  <c r="D65" i="22"/>
  <c r="D63" i="22"/>
  <c r="D61" i="22"/>
  <c r="D59" i="22"/>
  <c r="D57" i="22"/>
  <c r="D55" i="22"/>
  <c r="D53" i="22"/>
  <c r="D51" i="22"/>
  <c r="D49" i="22"/>
  <c r="D47" i="22"/>
  <c r="D45" i="22"/>
  <c r="D43" i="22"/>
  <c r="D41" i="22"/>
  <c r="D39" i="22"/>
  <c r="D37" i="22"/>
  <c r="D35" i="22"/>
  <c r="D33" i="22"/>
  <c r="D31" i="22"/>
  <c r="D29" i="22"/>
  <c r="D27" i="22"/>
  <c r="D25" i="22"/>
  <c r="D23" i="22"/>
  <c r="D21" i="22"/>
  <c r="D19" i="22"/>
  <c r="D17" i="22"/>
  <c r="D15" i="22"/>
  <c r="D13" i="22"/>
  <c r="D11" i="22"/>
  <c r="D9" i="22"/>
  <c r="D7" i="22"/>
  <c r="D5" i="22"/>
  <c r="D3" i="22"/>
  <c r="D2" i="22" a="1"/>
  <c r="D2" i="22" l="1"/>
  <c r="B13" i="24"/>
  <c r="B12" i="24"/>
  <c r="B11" i="24"/>
  <c r="B10" i="24"/>
  <c r="B9" i="24"/>
  <c r="B8" i="24"/>
  <c r="B7" i="24"/>
  <c r="B6" i="24"/>
  <c r="B41" i="24" l="1"/>
  <c r="B67" i="24" l="1"/>
  <c r="B77" i="24" l="1"/>
  <c r="B93" i="24"/>
  <c r="B99" i="24"/>
  <c r="B68" i="24"/>
  <c r="B88" i="24"/>
  <c r="B94" i="24"/>
  <c r="B96" i="24"/>
  <c r="B89" i="24"/>
  <c r="B82" i="24"/>
  <c r="B84" i="24"/>
  <c r="B100" i="24"/>
  <c r="B79" i="24"/>
  <c r="B66" i="24"/>
  <c r="B71" i="24"/>
  <c r="B70" i="24"/>
  <c r="B83" i="24"/>
  <c r="B91" i="24"/>
  <c r="B81" i="24"/>
  <c r="B97" i="24"/>
  <c r="B78" i="24"/>
  <c r="B80" i="24"/>
  <c r="B73" i="24"/>
  <c r="B87" i="24"/>
  <c r="B74" i="24"/>
  <c r="B90" i="24"/>
  <c r="B95" i="24"/>
  <c r="B76" i="24"/>
  <c r="B92" i="24"/>
  <c r="B69" i="24"/>
  <c r="B85" i="24"/>
  <c r="B101" i="24"/>
  <c r="B75" i="24"/>
  <c r="B86" i="24"/>
  <c r="B98" i="24" l="1"/>
  <c r="B72" i="24"/>
  <c r="B24" i="24" l="1"/>
  <c r="B45" i="24" l="1"/>
  <c r="B50" i="24"/>
  <c r="B48" i="24"/>
  <c r="B60" i="24"/>
  <c r="B44" i="24"/>
  <c r="B54" i="24"/>
  <c r="B49" i="24"/>
  <c r="B30" i="24"/>
  <c r="B16" i="24"/>
  <c r="B21" i="24"/>
  <c r="B61" i="24"/>
  <c r="B51" i="24"/>
  <c r="B31" i="24"/>
  <c r="B62" i="24"/>
  <c r="B32" i="24"/>
  <c r="B27" i="24"/>
  <c r="B36" i="24"/>
  <c r="B26" i="24"/>
  <c r="B55" i="24"/>
  <c r="B52" i="24"/>
  <c r="B59" i="24"/>
  <c r="B42" i="24"/>
  <c r="B43" i="24"/>
  <c r="B17" i="24"/>
  <c r="B4" i="24"/>
  <c r="B3" i="24"/>
  <c r="B64" i="24"/>
  <c r="B63" i="24"/>
  <c r="B34" i="24"/>
  <c r="B19" i="24"/>
  <c r="B35" i="24"/>
  <c r="B47" i="24"/>
  <c r="B33" i="24"/>
  <c r="B14" i="24"/>
  <c r="B40" i="24" l="1"/>
  <c r="B53" i="24"/>
  <c r="B15" i="24"/>
  <c r="B46" i="24"/>
  <c r="B56" i="24"/>
  <c r="B28" i="24"/>
  <c r="B38" i="24"/>
  <c r="B65" i="24"/>
  <c r="B2" i="24"/>
  <c r="B23" i="24"/>
  <c r="B5" i="24"/>
  <c r="B20" i="24"/>
  <c r="B58" i="24"/>
  <c r="B29" i="24"/>
  <c r="B22" i="24"/>
  <c r="B25" i="24"/>
  <c r="B39" i="24"/>
  <c r="B18" i="24"/>
  <c r="B57" i="24"/>
  <c r="G13" i="10" l="1"/>
  <c r="G18" i="10" l="1"/>
  <c r="G5" i="10"/>
  <c r="G8" i="10"/>
  <c r="G2" i="10"/>
  <c r="G15" i="10" l="1"/>
  <c r="G19" i="10"/>
  <c r="G11" i="10"/>
  <c r="G9" i="10"/>
  <c r="G12" i="10"/>
  <c r="G16" i="10"/>
  <c r="G17" i="10"/>
  <c r="G20" i="10"/>
  <c r="G10" i="10" l="1"/>
  <c r="G4" i="10"/>
  <c r="G21" i="10"/>
  <c r="G6" i="10"/>
  <c r="G3" i="10"/>
  <c r="G7" i="10"/>
  <c r="G14"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<sst xmlns="http://schemas.openxmlformats.org/spreadsheetml/2006/main" count="517" uniqueCount="484">
  <si>
    <t>Họ và tên</t>
  </si>
  <si>
    <t>Email</t>
  </si>
  <si>
    <t>GK</t>
  </si>
  <si>
    <t>CK</t>
  </si>
  <si>
    <t>HP</t>
  </si>
  <si>
    <t>MSSV</t>
  </si>
  <si>
    <t>STT</t>
  </si>
  <si>
    <t>Nguyễn Trung Đức</t>
  </si>
  <si>
    <t>Nguyễn Tiến Dũng</t>
  </si>
  <si>
    <t>Nguyễn Minh Hiếu</t>
  </si>
  <si>
    <t>Nguyễn Hoàng Anh</t>
  </si>
  <si>
    <t>Nguyễn Quang Minh</t>
  </si>
  <si>
    <t>Nguyễn Văn Chiến</t>
  </si>
  <si>
    <t>Nguyễn Đình Hưng</t>
  </si>
  <si>
    <t>Nguyễn Quang Huy</t>
  </si>
  <si>
    <t>Lê Trung Kiên</t>
  </si>
  <si>
    <t>Nguyễn Xuân Thắng</t>
  </si>
  <si>
    <t>Nguyễn Hoàng Tùng</t>
  </si>
  <si>
    <t>Nhóm bài tập</t>
  </si>
  <si>
    <t>Phạm Trung Hiếu</t>
  </si>
  <si>
    <t>Trần Trung Hiếu</t>
  </si>
  <si>
    <t>Nguyễn Bá Hoàng</t>
  </si>
  <si>
    <t>Nguyễn Huy Hoàng</t>
  </si>
  <si>
    <t>Nguyễn Duy Khánh</t>
  </si>
  <si>
    <t>Điểm</t>
  </si>
  <si>
    <t>Điểm trung bình</t>
  </si>
  <si>
    <t>Lê Trung Hiếu</t>
  </si>
  <si>
    <t>Nguyễn Hoàng Long</t>
  </si>
  <si>
    <t>Trần Văn Hiếu</t>
  </si>
  <si>
    <t>GitHub</t>
  </si>
  <si>
    <t>MSPlanner</t>
  </si>
  <si>
    <t>Bùi Ngọc An</t>
  </si>
  <si>
    <t>Hoàng  Anh</t>
  </si>
  <si>
    <t>Lã Hồng Anh</t>
  </si>
  <si>
    <t>Lê Đức Anh</t>
  </si>
  <si>
    <t>Phạm Tiến Anh</t>
  </si>
  <si>
    <t>Hoa Thị Ánh</t>
  </si>
  <si>
    <t>Nguyễn Ngọc Bình</t>
  </si>
  <si>
    <t>Nguyễn Văn Bình</t>
  </si>
  <si>
    <t>Nguyễn Bá Cầu</t>
  </si>
  <si>
    <t>Dương Văn Công</t>
  </si>
  <si>
    <t>Bùi Phan Thanh Cường</t>
  </si>
  <si>
    <t>Nguyễn Huy Định</t>
  </si>
  <si>
    <t>Trần Nguyễn Trung Đô</t>
  </si>
  <si>
    <t>Phạm Ngọc Du</t>
  </si>
  <si>
    <t>Nguyễn Ánh Dương</t>
  </si>
  <si>
    <t>Trần Văn Dương</t>
  </si>
  <si>
    <t>Nguyễn Cao Duy</t>
  </si>
  <si>
    <t>Nguyễn Mạnh Duy</t>
  </si>
  <si>
    <t>Bùi Thị én</t>
  </si>
  <si>
    <t>Phạm Ngọc Hà</t>
  </si>
  <si>
    <t>Nguyễn Xuân Hải</t>
  </si>
  <si>
    <t>Trần Tiến Hải</t>
  </si>
  <si>
    <t>Vũ Trí Hậu</t>
  </si>
  <si>
    <t>Đỗ Minh Hiếu</t>
  </si>
  <si>
    <t>Đặng Văn Hoàn</t>
  </si>
  <si>
    <t>Phan Huy Hoàng</t>
  </si>
  <si>
    <t>Trần Văn Hoằng</t>
  </si>
  <si>
    <t>Hoàng Đình Hợi</t>
  </si>
  <si>
    <t>Đỗ Hải Hùng</t>
  </si>
  <si>
    <t>Nguyễn Văn Hùng</t>
  </si>
  <si>
    <t>Trần Văn Hùng</t>
  </si>
  <si>
    <t>Vũ Văn Hưng</t>
  </si>
  <si>
    <t>Bùi Kim Huy</t>
  </si>
  <si>
    <t>Bùi Duy Khải</t>
  </si>
  <si>
    <t>Trần Quang Khải</t>
  </si>
  <si>
    <t>Tạ Trung Kiên</t>
  </si>
  <si>
    <t>Trần Văn Kiên</t>
  </si>
  <si>
    <t>Phùng Danh Lân</t>
  </si>
  <si>
    <t>Đồng Quang Linh</t>
  </si>
  <si>
    <t>Nguyễn Ngọc Linh</t>
  </si>
  <si>
    <t>Phạm Cẩm Linh</t>
  </si>
  <si>
    <t>Đinh Lê Long</t>
  </si>
  <si>
    <t>Nguyễn Đức Long</t>
  </si>
  <si>
    <t>Vũ Xuân Lượng</t>
  </si>
  <si>
    <t>Nguyễn Đức Minh</t>
  </si>
  <si>
    <t>Trịnh Tuấn Minh</t>
  </si>
  <si>
    <t>Cao Thị My</t>
  </si>
  <si>
    <t>Đặng Thanh Nam</t>
  </si>
  <si>
    <t>Lê Xuân Nam</t>
  </si>
  <si>
    <t>Nguyễn Văn Nam</t>
  </si>
  <si>
    <t>Vũ Khắc Nam</t>
  </si>
  <si>
    <t>Mai Thị Ngọc</t>
  </si>
  <si>
    <t>Nguyễn An Ngọc</t>
  </si>
  <si>
    <t>Nguyễn Trọng Ngọc</t>
  </si>
  <si>
    <t>Đàm Văn Nhật</t>
  </si>
  <si>
    <t>Nguyễn Thị Oanh</t>
  </si>
  <si>
    <t>PATHANA  PEUNGNHOTHOUNG</t>
  </si>
  <si>
    <t>Lê Văn Quân</t>
  </si>
  <si>
    <t>Nguyễn Đức Quân</t>
  </si>
  <si>
    <t>Vũ Tiến Quân</t>
  </si>
  <si>
    <t>Trịnh Huy Quang</t>
  </si>
  <si>
    <t>Nguyễn Bình Quyền</t>
  </si>
  <si>
    <t>Hồ Minh Sang</t>
  </si>
  <si>
    <t>Nguyễn Hải Sơn</t>
  </si>
  <si>
    <t>Nguyễn Trường Sơn</t>
  </si>
  <si>
    <t>Vũ Ngọc Sơn</t>
  </si>
  <si>
    <t>Lê Huy Thái</t>
  </si>
  <si>
    <t>Thân Văn Thái</t>
  </si>
  <si>
    <t>Nguyễn Bách Thắng</t>
  </si>
  <si>
    <t>Phạm Trọng Thắng</t>
  </si>
  <si>
    <t>Nguyễn Văn Thanh</t>
  </si>
  <si>
    <t>Nguyễn Văn Tiệm</t>
  </si>
  <si>
    <t>Nguyễn Minh Tiến</t>
  </si>
  <si>
    <t>Nguyễn Viết Tiến</t>
  </si>
  <si>
    <t>Nguyễn Thị Quỳnh Trang</t>
  </si>
  <si>
    <t>Nguyễn Hữu Tráng</t>
  </si>
  <si>
    <t>Đào Trung Trọng</t>
  </si>
  <si>
    <t>Lê Anh Tuấn</t>
  </si>
  <si>
    <t>Nguyễn Anh Tuấn</t>
  </si>
  <si>
    <t>Nguyễn Đăng Tuấn</t>
  </si>
  <si>
    <t>Tô Vinh Tuấn</t>
  </si>
  <si>
    <t>Nguyễn Bá Việt</t>
  </si>
  <si>
    <t>Tôn Thiện Vĩnh</t>
  </si>
  <si>
    <t>Nguyễn Đăng Vũ</t>
  </si>
  <si>
    <t>Vũ Long Vũ</t>
  </si>
  <si>
    <t>Đặng Hùng Vương</t>
  </si>
  <si>
    <t>StudentId</t>
  </si>
  <si>
    <t>StudentName</t>
  </si>
  <si>
    <t>20205030</t>
  </si>
  <si>
    <t>Nguyễn Thị Thu</t>
  </si>
  <si>
    <t>20208001</t>
  </si>
  <si>
    <t>Nguyễn Hùng Tiến</t>
  </si>
  <si>
    <t>20205091</t>
  </si>
  <si>
    <t>Nguyễn Trung Kiên</t>
  </si>
  <si>
    <t>20205009</t>
  </si>
  <si>
    <t>Trần Tiến Ngọc</t>
  </si>
  <si>
    <t>20205124</t>
  </si>
  <si>
    <t>Phạm Ngọc Sơn</t>
  </si>
  <si>
    <t>20204980</t>
  </si>
  <si>
    <t>20200364</t>
  </si>
  <si>
    <t>20204957</t>
  </si>
  <si>
    <t>20204936</t>
  </si>
  <si>
    <t>Nguyễn Đình Thành An</t>
  </si>
  <si>
    <t>20205048</t>
  </si>
  <si>
    <t>Vũ Quốc Việt</t>
  </si>
  <si>
    <t>20200029</t>
  </si>
  <si>
    <t>Nguyễn Nhật Anh</t>
  </si>
  <si>
    <t>20205054</t>
  </si>
  <si>
    <t>Phạm Tuấn Anh</t>
  </si>
  <si>
    <t>20205020</t>
  </si>
  <si>
    <t>Lê Duy Thái</t>
  </si>
  <si>
    <t>20205100</t>
  </si>
  <si>
    <t>Đào Xuân Minh</t>
  </si>
  <si>
    <t>20200396</t>
  </si>
  <si>
    <t>Lê Minh</t>
  </si>
  <si>
    <t>20200167</t>
  </si>
  <si>
    <t>Nguyễn Anh Đức</t>
  </si>
  <si>
    <t>20205010</t>
  </si>
  <si>
    <t>Hoàng Minh Nguyệt</t>
  </si>
  <si>
    <t>20205061</t>
  </si>
  <si>
    <t>Nguyễn Kim Cường</t>
  </si>
  <si>
    <t>20207999</t>
  </si>
  <si>
    <t>20205007</t>
  </si>
  <si>
    <t>Lê Quang Nghĩa</t>
  </si>
  <si>
    <t>20205085</t>
  </si>
  <si>
    <t>Nguyễn Đinh Gia Huy</t>
  </si>
  <si>
    <t>20205078</t>
  </si>
  <si>
    <t>Nguyễn Thị Thanh Hiền</t>
  </si>
  <si>
    <t>20205067</t>
  </si>
  <si>
    <t>Lê Huỳnh Đức</t>
  </si>
  <si>
    <t>20200569</t>
  </si>
  <si>
    <t>Cao Thanh Tùng</t>
  </si>
  <si>
    <t>20205049</t>
  </si>
  <si>
    <t>Ngũ Duy Vinh</t>
  </si>
  <si>
    <t>20200401</t>
  </si>
  <si>
    <t>Nghiêm Đình Minh</t>
  </si>
  <si>
    <t>20205047</t>
  </si>
  <si>
    <t>Mai Hoàng Việt</t>
  </si>
  <si>
    <t>20200111</t>
  </si>
  <si>
    <t>Lê Đức Anh Duy</t>
  </si>
  <si>
    <t>20200156</t>
  </si>
  <si>
    <t>Phạm Bá Đồng</t>
  </si>
  <si>
    <t>20204964</t>
  </si>
  <si>
    <t>Ngô Thị Hồng Hạnh</t>
  </si>
  <si>
    <t>20205095</t>
  </si>
  <si>
    <t>Phạm Tiến Lộc</t>
  </si>
  <si>
    <t>20204944</t>
  </si>
  <si>
    <t>Nguyễn Khắc Thái Bình</t>
  </si>
  <si>
    <t>20205003</t>
  </si>
  <si>
    <t>Trịnh Đức Minh</t>
  </si>
  <si>
    <t>20205069</t>
  </si>
  <si>
    <t>Phạm Trung Đức</t>
  </si>
  <si>
    <t>20204942</t>
  </si>
  <si>
    <t>Vũ Quang Anh</t>
  </si>
  <si>
    <t>20205040</t>
  </si>
  <si>
    <t>Nguyễn Doãn Tuấn</t>
  </si>
  <si>
    <t>20205019</t>
  </si>
  <si>
    <t>Đào Duy Thái</t>
  </si>
  <si>
    <t>20205013</t>
  </si>
  <si>
    <t>Nguyễn Gia Phong</t>
  </si>
  <si>
    <t>20205006</t>
  </si>
  <si>
    <t>Hoàng Như Nghĩa</t>
  </si>
  <si>
    <t>20205115</t>
  </si>
  <si>
    <t>Vũ Anh Quân</t>
  </si>
  <si>
    <t>20204963</t>
  </si>
  <si>
    <t>Nguyễn Hoàng Hải</t>
  </si>
  <si>
    <t>20205123</t>
  </si>
  <si>
    <t>Lê Đình Hải Sơn</t>
  </si>
  <si>
    <t>20204983</t>
  </si>
  <si>
    <t>Đinh Văn Hùng</t>
  </si>
  <si>
    <t>20205087</t>
  </si>
  <si>
    <t>Dương Hữu Huynh</t>
  </si>
  <si>
    <t>20200042</t>
  </si>
  <si>
    <t>Quách Đức Anh</t>
  </si>
  <si>
    <t>20204985</t>
  </si>
  <si>
    <t>Đinh Trần Tuấn Huy</t>
  </si>
  <si>
    <t>20205074</t>
  </si>
  <si>
    <t>Vũ Tiến Dũng</t>
  </si>
  <si>
    <t>20205131</t>
  </si>
  <si>
    <t>Nguyễn Hà Phú Thịnh</t>
  </si>
  <si>
    <t>20204947</t>
  </si>
  <si>
    <t>Nguyễn Thành Đạt</t>
  </si>
  <si>
    <t>20204997</t>
  </si>
  <si>
    <t>Nguyễn Thanh Lâm</t>
  </si>
  <si>
    <t>20205068</t>
  </si>
  <si>
    <t>Phạm Minh Đức</t>
  </si>
  <si>
    <t>20204960</t>
  </si>
  <si>
    <t>Nguyễn Lương Duy</t>
  </si>
  <si>
    <t>20200269</t>
  </si>
  <si>
    <t>Đinh Trọng Huy</t>
  </si>
  <si>
    <t>20205137</t>
  </si>
  <si>
    <t>Trần Minh Tuấn</t>
  </si>
  <si>
    <t>20205119</t>
  </si>
  <si>
    <t>Phạm Minh Quang</t>
  </si>
  <si>
    <t>20204987</t>
  </si>
  <si>
    <t>Nguyễn Quốc Huy</t>
  </si>
  <si>
    <t>20205112</t>
  </si>
  <si>
    <t>Hoàng Danh Quân</t>
  </si>
  <si>
    <t>20205055</t>
  </si>
  <si>
    <t>Võ Việt Bắc</t>
  </si>
  <si>
    <t>20204967</t>
  </si>
  <si>
    <t>Nguyễn Hoàng Hiếu</t>
  </si>
  <si>
    <t>20204968</t>
  </si>
  <si>
    <t>20205075</t>
  </si>
  <si>
    <t>Đào Kim Dương</t>
  </si>
  <si>
    <t>20205027</t>
  </si>
  <si>
    <t>Nguyễn Tuấn Thành</t>
  </si>
  <si>
    <t>20204943</t>
  </si>
  <si>
    <t>Nguyễn Quốc Bảo</t>
  </si>
  <si>
    <t>20205065</t>
  </si>
  <si>
    <t>Đào Xuân Đạt</t>
  </si>
  <si>
    <t>20200255</t>
  </si>
  <si>
    <t>Bùi Trung Hùng</t>
  </si>
  <si>
    <t>20205128</t>
  </si>
  <si>
    <t>Kiều Phương Thảo</t>
  </si>
  <si>
    <t>20205037</t>
  </si>
  <si>
    <t>Kiều Doãn Trung</t>
  </si>
  <si>
    <t>20200203</t>
  </si>
  <si>
    <t>Mai Thu Hiền</t>
  </si>
  <si>
    <t>20205012</t>
  </si>
  <si>
    <t>Khổng Hoàng Phi</t>
  </si>
  <si>
    <t>20204949</t>
  </si>
  <si>
    <t>Trần Văn Đông</t>
  </si>
  <si>
    <t>20204992</t>
  </si>
  <si>
    <t>20204982</t>
  </si>
  <si>
    <t>Vi Trung Hợp</t>
  </si>
  <si>
    <t>20204971</t>
  </si>
  <si>
    <t>20205082</t>
  </si>
  <si>
    <t>Lê Vũ Hoàng</t>
  </si>
  <si>
    <t>20200572</t>
  </si>
  <si>
    <t>Lê Thanh Tùng</t>
  </si>
  <si>
    <t>20205088</t>
  </si>
  <si>
    <t>Nguyễn Sỹ Anh Khoa</t>
  </si>
  <si>
    <t>20205053</t>
  </si>
  <si>
    <t>Nguyễn Văn Thiên Anh</t>
  </si>
  <si>
    <t>20205138</t>
  </si>
  <si>
    <t>Mai Văn Tường</t>
  </si>
  <si>
    <t>20204955</t>
  </si>
  <si>
    <t>Lê Đình Dũng</t>
  </si>
  <si>
    <t>20205038</t>
  </si>
  <si>
    <t>Mạc Anh Tú</t>
  </si>
  <si>
    <t>20205094</t>
  </si>
  <si>
    <t>Nguyễn Thị Diệu Linh</t>
  </si>
  <si>
    <t>20200310</t>
  </si>
  <si>
    <t>Nguyễn Hữu Khải</t>
  </si>
  <si>
    <t>20205036</t>
  </si>
  <si>
    <t>Hồ Yến Trinh</t>
  </si>
  <si>
    <t>20200568</t>
  </si>
  <si>
    <t>Bùi Danh Tùng</t>
  </si>
  <si>
    <t>20205120</t>
  </si>
  <si>
    <t>Trần Minh Quang</t>
  </si>
  <si>
    <t>20205111</t>
  </si>
  <si>
    <t>Phạm Quang Nhật</t>
  </si>
  <si>
    <t>20205098</t>
  </si>
  <si>
    <t>Vương Duy Long</t>
  </si>
  <si>
    <t>20204961</t>
  </si>
  <si>
    <t>Nguyễn Quang Duy</t>
  </si>
  <si>
    <t>20205083</t>
  </si>
  <si>
    <t>Đỗ Quang Huy</t>
  </si>
  <si>
    <t>20204956</t>
  </si>
  <si>
    <t>Nguyễn Ngọc Dũng</t>
  </si>
  <si>
    <t>20205079</t>
  </si>
  <si>
    <t>Lương Hoàng Hiệp</t>
  </si>
  <si>
    <t>20205025</t>
  </si>
  <si>
    <t>Đỗ Chí Thành</t>
  </si>
  <si>
    <t>20200653</t>
  </si>
  <si>
    <t>Nguyễn Quang Trường</t>
  </si>
  <si>
    <t>20200680</t>
  </si>
  <si>
    <t>Phạm Thị Hải Yến</t>
  </si>
  <si>
    <t>20205002</t>
  </si>
  <si>
    <t>Nguyễn Lê Minh</t>
  </si>
  <si>
    <t>20200231</t>
  </si>
  <si>
    <t>20205136</t>
  </si>
  <si>
    <t>20204979</t>
  </si>
  <si>
    <t>Nguyễn Hữu Hoàng</t>
  </si>
  <si>
    <t>20205029</t>
  </si>
  <si>
    <t>Phạm Minh Thống</t>
  </si>
  <si>
    <t>20205102</t>
  </si>
  <si>
    <t>Trần Quang Minh</t>
  </si>
  <si>
    <t>20204975</t>
  </si>
  <si>
    <t>Cù Minh Hoàng</t>
  </si>
  <si>
    <t>20205051</t>
  </si>
  <si>
    <t>Lê Tuấn Anh</t>
  </si>
  <si>
    <t>20205044</t>
  </si>
  <si>
    <t>Nguyễn Sơn Tùng</t>
  </si>
  <si>
    <t>20205033</t>
  </si>
  <si>
    <t>Nguyễn Hữu Tiến</t>
  </si>
  <si>
    <t>20200021</t>
  </si>
  <si>
    <t>Ngọ Việt Anh</t>
  </si>
  <si>
    <t>20205000</t>
  </si>
  <si>
    <t>Nguyễn Hữu Linh</t>
  </si>
  <si>
    <t>20194679</t>
  </si>
  <si>
    <t>Nguyễn Văn Thành</t>
  </si>
  <si>
    <t>20205014</t>
  </si>
  <si>
    <t>Lê Minh Quân</t>
  </si>
  <si>
    <t>20205122</t>
  </si>
  <si>
    <t>Trần Thị Như Quỳnh</t>
  </si>
  <si>
    <t>20208000</t>
  </si>
  <si>
    <t>Phạm Vũ Hoàng</t>
  </si>
  <si>
    <t>20200586</t>
  </si>
  <si>
    <t>Đỗ Đức Thành</t>
  </si>
  <si>
    <t>20205016</t>
  </si>
  <si>
    <t>Đoàn Vũ Quang</t>
  </si>
  <si>
    <t>20205104</t>
  </si>
  <si>
    <t>Nguyễn Hải Nam</t>
  </si>
  <si>
    <t>20176847</t>
  </si>
  <si>
    <t>Nguyễn Hồng Phương</t>
  </si>
  <si>
    <t>20205024</t>
  </si>
  <si>
    <t>Phạm Đức Thắng</t>
  </si>
  <si>
    <t>20204996</t>
  </si>
  <si>
    <t>Lê Trường Lam</t>
  </si>
  <si>
    <t>20204946</t>
  </si>
  <si>
    <t>Dương Tiến Đạt</t>
  </si>
  <si>
    <t>20184148</t>
  </si>
  <si>
    <t>Nguyễn Đỗ Đức Mạnh</t>
  </si>
  <si>
    <t>20200560</t>
  </si>
  <si>
    <t>Nguyễn Duy Tuấn</t>
  </si>
  <si>
    <t>20205017</t>
  </si>
  <si>
    <t>Trình Lê Hào Quang</t>
  </si>
  <si>
    <t>20205090</t>
  </si>
  <si>
    <t>20205005</t>
  </si>
  <si>
    <t>20205109</t>
  </si>
  <si>
    <t>Lê Thị Nguyệt</t>
  </si>
  <si>
    <t>20205060</t>
  </si>
  <si>
    <t>Nguyễn Tiến Công</t>
  </si>
  <si>
    <t>20204976</t>
  </si>
  <si>
    <t>Trần Thị Đỗ Hải</t>
  </si>
  <si>
    <t>Nguyễn Ngọc Hải</t>
  </si>
  <si>
    <t>Nguyễn Phú Tài</t>
  </si>
  <si>
    <t>Võ Đình Hùng</t>
  </si>
  <si>
    <t>Hoàng Hải Đăng</t>
  </si>
  <si>
    <t>Lê Anh Hào</t>
  </si>
  <si>
    <t>Đào Anh Quân</t>
  </si>
  <si>
    <t>Trịnh Văn Diệu</t>
  </si>
  <si>
    <t>Nguyễn Ngọc Nam</t>
  </si>
  <si>
    <t>Lương Văn Quyền</t>
  </si>
  <si>
    <t>Nguyễn Trần Minh Quân</t>
  </si>
  <si>
    <t>Bành Lê Đức</t>
  </si>
  <si>
    <t>Bùi Ngọc Phương</t>
  </si>
  <si>
    <t>Nguyễn Thị Hoài Anh</t>
  </si>
  <si>
    <t>Nguyễn Ngọc Lâm</t>
  </si>
  <si>
    <t>Nguyễn Minh Sơn</t>
  </si>
  <si>
    <t>Phan Quang Bách</t>
  </si>
  <si>
    <t>Lê Chung Phương</t>
  </si>
  <si>
    <t>Phạm Huy Minh</t>
  </si>
  <si>
    <t>Nguyễn Đức Đạt</t>
  </si>
  <si>
    <t>Nguyễn Mạnh Hải</t>
  </si>
  <si>
    <t>Nguyễn Hồng Quân</t>
  </si>
  <si>
    <t>Lê Đức Thắng</t>
  </si>
  <si>
    <t>Vũ Đức Huy</t>
  </si>
  <si>
    <t>Nguyễn Xuân Phú</t>
  </si>
  <si>
    <t>Lê Văn Quang</t>
  </si>
  <si>
    <t>Lê Huyền Linh</t>
  </si>
  <si>
    <t>Phạm Đức Long</t>
  </si>
  <si>
    <t>Nguyễn Phúc Quý</t>
  </si>
  <si>
    <t>Nguyễn Thái Sơn</t>
  </si>
  <si>
    <t>Lê Văn Thọ</t>
  </si>
  <si>
    <t>Nguyễn Phan Huy</t>
  </si>
  <si>
    <t>Nguyễn Hữu Vinh</t>
  </si>
  <si>
    <t>Mai Anh Tuấn</t>
  </si>
  <si>
    <t>Hà Bảo Khiêm</t>
  </si>
  <si>
    <t>Hoàng Công Hậu</t>
  </si>
  <si>
    <t>Phạm Minh Hoàng</t>
  </si>
  <si>
    <t>Phạm Tiến Đạt</t>
  </si>
  <si>
    <t>Trần Văn Khởi</t>
  </si>
  <si>
    <t>Hoàng Quốc Huy</t>
  </si>
  <si>
    <t>Lê Quang Dũng</t>
  </si>
  <si>
    <t>Trần Quang Anh</t>
  </si>
  <si>
    <t>Phạm Hồng Sơn</t>
  </si>
  <si>
    <t>Nguyễn Quốc Khoa</t>
  </si>
  <si>
    <t>Lê Đức Thiện</t>
  </si>
  <si>
    <t>Đoàn Đức Bảo</t>
  </si>
  <si>
    <t>Nguyễn Minh Đức</t>
  </si>
  <si>
    <t>Trần Văn Lượng</t>
  </si>
  <si>
    <t>Phạm Thị Quỳnh</t>
  </si>
  <si>
    <t>Trần Văn Cường</t>
  </si>
  <si>
    <t>Đỗ Đình Thắng</t>
  </si>
  <si>
    <t>Đặng Văn Dũng</t>
  </si>
  <si>
    <t>Trần Quang Chiến</t>
  </si>
  <si>
    <t>Nguyễn Đức Thiên</t>
  </si>
  <si>
    <t>Nguyễn Thị Mai Hương</t>
  </si>
  <si>
    <t>Bùi Anh Đức</t>
  </si>
  <si>
    <t>Lê Minh Hiếu</t>
  </si>
  <si>
    <t>Ngọ Văn Quân</t>
  </si>
  <si>
    <t>Trần Thị Phượng</t>
  </si>
  <si>
    <t>Đỗ Anh Tuấn</t>
  </si>
  <si>
    <t>Nguyễn Tôn Tú</t>
  </si>
  <si>
    <t>Phùng Hồng Sơn</t>
  </si>
  <si>
    <t>Khiếu Văn Nguyên</t>
  </si>
  <si>
    <t>Đinh Thị Thu Hoài</t>
  </si>
  <si>
    <t>Lê Việt Khoa</t>
  </si>
  <si>
    <t>Võ Sỹ Hùng</t>
  </si>
  <si>
    <t>Nguyễn Thọ Điệp</t>
  </si>
  <si>
    <t>Đỗ Thành Nam</t>
  </si>
  <si>
    <t>Dương Trần Hoài Sơn</t>
  </si>
  <si>
    <t>Nguyễn Thị Thủy</t>
  </si>
  <si>
    <t>Đỗ Thị Anh Thư</t>
  </si>
  <si>
    <t>Nguyễn Kỳ Thông</t>
  </si>
  <si>
    <t>Bùi Mạnh Tiến</t>
  </si>
  <si>
    <t>Nguyễn Hoàng Nhung</t>
  </si>
  <si>
    <t>Vũ Ngọc Xuân</t>
  </si>
  <si>
    <t>Nguyễn Quỳnh Trang</t>
  </si>
  <si>
    <t>Đồng Văn Thiện</t>
  </si>
  <si>
    <t>Nguyễn Lê Quang Huy</t>
  </si>
  <si>
    <t>Đỗ Văn Nhu</t>
  </si>
  <si>
    <t>Nguyễn Ngọc Khánh</t>
  </si>
  <si>
    <t>Trịnh Ngọc Khang</t>
  </si>
  <si>
    <t>Nguyễn Phương Hoa</t>
  </si>
  <si>
    <t>Nguyễn Thế Anh</t>
  </si>
  <si>
    <t>Công Đào Minh Uyên</t>
  </si>
  <si>
    <t>Nguyễn Tấn Nam Anh</t>
  </si>
  <si>
    <t>Nguyễn Văn Nhật</t>
  </si>
  <si>
    <t>Nguyễn Hải Anh</t>
  </si>
  <si>
    <t>Hoàng Thị Mơ</t>
  </si>
  <si>
    <t>Phùng Văn Hoàng</t>
  </si>
  <si>
    <t>Nguyễn Hiền Tường</t>
  </si>
  <si>
    <t>Nguyễn Hoàng Hiệp</t>
  </si>
  <si>
    <t>Vũ Hoàng Đức Hiếu</t>
  </si>
  <si>
    <t>Nguyễn Thị Thu Trang</t>
  </si>
  <si>
    <t>Nguyễn Trí Tuệ</t>
  </si>
  <si>
    <t>Lại Văn Hoàn</t>
  </si>
  <si>
    <t>Nguyễn Tiến Minh</t>
  </si>
  <si>
    <t>Lê Phương Nam</t>
  </si>
  <si>
    <t>Nguyễn Đức Thâu</t>
  </si>
  <si>
    <t>Trương Bá Hiếu</t>
  </si>
  <si>
    <t>Trần Văn Đề</t>
  </si>
  <si>
    <t>Nội dung</t>
  </si>
  <si>
    <t>https://github.com/OfficeDev/Excel-Custom-Functions</t>
  </si>
  <si>
    <t>https://github.com/OfficeDev/microsoft-teams-sample-meetings-token</t>
  </si>
  <si>
    <t>https://github.com/OfficeDev/Excel-IO</t>
  </si>
  <si>
    <t>https://github.com/OfficeDev/microsoft-teams-apps-visitormanagement</t>
  </si>
  <si>
    <t>https://github.com/OfficeDev/office-toolbox</t>
  </si>
  <si>
    <t>https://github.com/cezarypiatek/MappingGenerator</t>
  </si>
  <si>
    <t>https://github.com/microsoft/TypeScript-Website</t>
  </si>
  <si>
    <t>https://github.com/microsoft/Recognizers-Text</t>
  </si>
  <si>
    <t>https://github.com/DungNM1311/FinalProjectHust</t>
  </si>
  <si>
    <t>https://github.com/buitu3/Portal-Puzzle-Unity/tree/master/Portal%20Puzzle</t>
  </si>
  <si>
    <t>https://github.com/Intervention/image</t>
  </si>
  <si>
    <t>https://github.com/OlafenwaMoses/ImageAI</t>
  </si>
  <si>
    <t>https://github.com/hyperoslo/ImagePicker</t>
  </si>
  <si>
    <t>https://github.com/SixLabors/ImageSharp</t>
  </si>
  <si>
    <t>https://github.com/vinc3m1/RoundedImageView</t>
  </si>
  <si>
    <t>https://github.com/translate/translate</t>
  </si>
  <si>
    <t>https://github.com/CopyTranslator/CopyTranslator</t>
  </si>
  <si>
    <t>https://github.com/googleapis/nodejs-translate</t>
  </si>
  <si>
    <t>https://github.com/rtshadow/biometrics</t>
  </si>
  <si>
    <t>https://github.com/encode/django-rest-framework</t>
  </si>
  <si>
    <t>https://github.com/davidshimjs/qrcodejs</t>
  </si>
  <si>
    <t>https://github.com/LazarSoft/jsqrcode</t>
  </si>
  <si>
    <t>https://github.com/jeromeetienne/jquery-qrcode</t>
  </si>
  <si>
    <t>Bai tap tương ứng với số thứ tự nhóm</t>
  </si>
  <si>
    <t>19_x3</t>
  </si>
  <si>
    <t>vấn đề với email trường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</si>
</sst>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14" x14ac:knownFonts="1">
    <font>
      <sz val="11"/>
      <color theme="1"/>
      <name val="Calibri"/>
      <family val="2"/>
      <scheme val="minor"/>
    </font>
    <font>
      <sz val="11"/>
      <name val="Calibri"/>
      <family val="2"/>
      <scheme val="minor"/>
    </font>
    <font>
      <sz val="11"/>
      <color indexed="8"/>
      <name val="Calibri"/>
      <family val="2"/>
    </font>
    <font>
      <sz val="10"/>
      <color indexed="8"/>
      <name val="Arial"/>
      <family val="2"/>
    </font>
    <font>
      <sz val="11"/>
      <name val="Calibri"/>
      <family val="2"/>
    </font>
    <font>
      <sz val="10"/>
      <color indexed="8"/>
      <name val="Arial"/>
      <family val="2"/>
    </font>
    <font>
      <sz val="11"/>
      <color indexed="8"/>
      <name val="Calibri"/>
      <family val="2"/>
    </font>
    <font>
      <sz val="11"/>
      <color indexed="8"/>
      <name val="Calibri"/>
      <family val="2"/>
    </font>
    <font>
      <sz val="8"/>
      <name val="Calibri"/>
      <family val="2"/>
      <scheme val="minor"/>
    </font>
    <font>
      <sz val="10"/>
      <color indexed="8"/>
      <name val="Arial"/>
    </font>
    <font>
      <sz val="11"/>
      <color indexed="8"/>
      <name val="Calibri"/>
    </font>
    <font>
      <sz val="10"/>
      <name val="Arial"/>
    </font>
    <font>
      <u/>
      <sz val="10"/>
      <color theme="10"/>
      <name val="Arial"/>
    </font>
    <font>
      <u/>
      <sz val="10"/>
      <name val="Arial"/>
    </font>
  </fonts>
  <fills count="4">
    <fill>
      <patternFill patternType="none"/>
    </fill>
    <fill>
      <patternFill patternType="gray125"/>
    </fill>
    <fill>
      <patternFill patternType="solid">
        <fgColor indexed="22"/>
        <bgColor indexed="0"/>
      </patternFill>
    </fill>
    <fill>
      <patternFill patternType="solid">
        <fgColor theme="4" tint="0.79998168889431442"/>
        <bgColor theme="4" tint="0.79998168889431442"/>
      </patternFill>
    </fill>
  </fills>
  <borders count="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s>
  <cellStyleXfs count="10">
    <xf numFmtId="0" fontId="0" fillId="0" borderId="0"/>
    <xf numFmtId="0" fontId="3" fillId="0" borderId="0"/>
    <xf numFmtId="0" fontId="3" fillId="0" borderId="0"/>
    <xf numFmtId="0" fontId="5" fillId="0" borderId="0"/>
    <xf numFmtId="0" fontId="5" fillId="0" borderId="0"/>
    <xf numFmtId="0" fontId="5" fillId="0" borderId="0"/>
    <xf numFmtId="0" fontId="9" fillId="0" borderId="0"/>
    <xf numFmtId="0" fontId="9" fillId="0" borderId="0"/>
    <xf numFmtId="0" fontId="11" fillId="0" borderId="0"/>
    <xf numFmtId="0" fontId="12" fillId="0" borderId="0" applyNumberFormat="0" applyFill="0" applyBorder="0" applyAlignment="0" applyProtection="0"/>
  </cellStyleXfs>
  <cellXfs count="37">
    <xf numFmtId="0" fontId="0" fillId="0" borderId="0" xfId="0"/>
    <xf numFmtId="49" fontId="1" fillId="0" borderId="0" xfId="0" applyNumberFormat="1" applyFont="1"/>
    <xf numFmtId="0" fontId="1" fillId="0" borderId="0" xfId="0" applyFont="1"/>
    <xf numFmtId="164" fontId="2" fillId="0" borderId="1" xfId="1" applyNumberFormat="1" applyFont="1" applyBorder="1" applyAlignment="1">
      <alignment horizontal="center" wrapText="1"/>
    </xf>
    <xf numFmtId="0" fontId="1" fillId="0" borderId="0" xfId="0" applyNumberFormat="1" applyFont="1" applyFill="1"/>
    <xf numFmtId="164" fontId="2" fillId="0" borderId="0" xfId="1" applyNumberFormat="1" applyFont="1" applyBorder="1" applyAlignment="1">
      <alignment horizontal="center" wrapText="1"/>
    </xf>
    <xf numFmtId="0" fontId="2" fillId="2" borderId="2" xfId="2" applyFont="1" applyFill="1" applyBorder="1" applyAlignment="1">
      <alignment horizontal="center"/>
    </xf>
    <xf numFmtId="0" fontId="0" fillId="0" borderId="0" xfId="0" applyAlignment="1">
      <alignment horizontal="center"/>
    </xf>
    <xf numFmtId="164" fontId="1" fillId="0" borderId="0" xfId="0" applyNumberFormat="1" applyFont="1" applyAlignment="1">
      <alignment horizontal="center"/>
    </xf>
    <xf numFmtId="164" fontId="1" fillId="0" borderId="0" xfId="0" applyNumberFormat="1" applyFont="1" applyFill="1" applyAlignment="1">
      <alignment horizontal="center"/>
    </xf>
    <xf numFmtId="0" fontId="1" fillId="0" borderId="0" xfId="0" applyFont="1" applyBorder="1"/>
    <xf numFmtId="0" fontId="4" fillId="0" borderId="1" xfId="5" applyFont="1" applyFill="1" applyBorder="1" applyAlignment="1">
      <alignment horizontal="left" wrapText="1"/>
    </xf>
    <xf numFmtId="0" fontId="4" fillId="0" borderId="1" xfId="5" applyNumberFormat="1" applyFont="1" applyFill="1" applyBorder="1" applyAlignment="1">
      <alignment horizontal="left" wrapText="1"/>
    </xf>
    <xf numFmtId="165" fontId="1" fillId="0" borderId="0" xfId="0" applyNumberFormat="1" applyFont="1"/>
    <xf numFmtId="0" fontId="10" fillId="0" borderId="1" xfId="6" applyFont="1" applyFill="1" applyBorder="1" applyAlignment="1">
      <alignment horizontal="left" wrapText="1"/>
    </xf>
    <xf numFmtId="0" fontId="4" fillId="0" borderId="0" xfId="0" applyFont="1" applyFill="1"/>
    <xf numFmtId="0" fontId="10" fillId="0" borderId="1" xfId="7" applyFont="1" applyFill="1" applyBorder="1" applyAlignment="1">
      <alignment horizontal="center" wrapText="1"/>
    </xf>
    <xf numFmtId="0" fontId="10" fillId="0" borderId="1" xfId="7" applyFont="1" applyFill="1" applyBorder="1" applyAlignment="1">
      <alignment horizontal="left" wrapText="1"/>
    </xf>
    <xf numFmtId="0" fontId="10" fillId="0" borderId="0" xfId="7" applyFont="1" applyFill="1" applyBorder="1" applyAlignment="1">
      <alignment horizontal="center" wrapText="1"/>
    </xf>
    <xf numFmtId="0" fontId="10" fillId="0" borderId="0" xfId="7" applyFont="1" applyFill="1" applyBorder="1" applyAlignment="1">
      <alignment horizontal="left" wrapText="1"/>
    </xf>
    <xf numFmtId="0" fontId="12" fillId="0" borderId="0" xfId="9"/>
    <xf numFmtId="0" fontId="1" fillId="0" borderId="0" xfId="0" applyNumberFormat="1" applyFont="1"/>
    <xf numFmtId="0" fontId="0" fillId="0" borderId="0" xfId="0" applyFill="1"/>
    <xf numFmtId="0" fontId="2" fillId="0" borderId="2" xfId="2" applyFont="1" applyFill="1" applyBorder="1" applyAlignment="1">
      <alignment horizontal="center"/>
    </xf>
    <xf numFmtId="0" fontId="6" fillId="0" borderId="2" xfId="3" applyFont="1" applyFill="1" applyBorder="1" applyAlignment="1">
      <alignment horizontal="center"/>
    </xf>
    <xf numFmtId="0" fontId="6" fillId="0" borderId="2" xfId="5" applyFont="1" applyFill="1" applyBorder="1" applyAlignment="1">
      <alignment horizontal="center"/>
    </xf>
    <xf numFmtId="0" fontId="12" fillId="0" borderId="0" xfId="9" applyFill="1"/>
    <xf numFmtId="0" fontId="13" fillId="0" borderId="0" xfId="9" applyFont="1" applyFill="1"/>
    <xf numFmtId="0" fontId="7" fillId="0" borderId="1" xfId="4" applyNumberFormat="1" applyFont="1" applyFill="1" applyBorder="1" applyAlignment="1">
      <alignment wrapText="1"/>
    </xf>
    <xf numFmtId="0" fontId="7" fillId="0" borderId="1" xfId="4" applyFont="1" applyFill="1" applyBorder="1" applyAlignment="1">
      <alignment wrapText="1"/>
    </xf>
    <xf numFmtId="164" fontId="7" fillId="0" borderId="1" xfId="3" applyNumberFormat="1" applyFont="1" applyFill="1" applyBorder="1" applyAlignment="1">
      <alignment horizontal="center" wrapText="1"/>
    </xf>
    <xf numFmtId="165" fontId="1" fillId="3" borderId="0" xfId="0" applyNumberFormat="1" applyFont="1" applyFill="1"/>
    <xf numFmtId="0" fontId="1" fillId="0" borderId="0" xfId="0" applyNumberFormat="1" applyFont="1" applyBorder="1"/>
    <xf numFmtId="49" fontId="1" fillId="0" borderId="0" xfId="0" applyNumberFormat="1" applyFont="1" applyBorder="1"/>
    <xf numFmtId="164" fontId="1" fillId="0" borderId="0" xfId="0" applyNumberFormat="1" applyFont="1" applyFill="1" applyBorder="1" applyAlignment="1">
      <alignment horizontal="center"/>
    </xf>
    <xf numFmtId="0" fontId="0" fillId="0" borderId="0" xfId="0" applyNumberFormat="1"/>
    <xf numFmtId="0" fontId="12" fillId="0" borderId="0" xfId="9" applyNumberFormat="1" applyFill="1"/>
  </cellXfs>
  <cellStyles count="10">
    <cellStyle name="Hyperlink" xfId="9" xr:uid="{1F2AE832-FE2E-4109-AD59-8C1516D388E8}"/>
    <cellStyle name="Normal" xfId="0" builtinId="0"/>
    <cellStyle name="Normal 2" xfId="8" xr:uid="{374852DE-51E5-4B12-A377-C0DCBCE10C38}"/>
    <cellStyle name="Normal_SV" xfId="1" xr:uid="{A15465B9-4DFB-4E08-8454-7965AA09CE8E}"/>
    <cellStyle name="Normal_SV-KTMT-GK" xfId="2" xr:uid="{0095CC6F-CAEF-4972-846B-29F225B52807}"/>
    <cellStyle name="Normal_SV-KTMT-GK_2" xfId="3" xr:uid="{5C478389-62C5-472B-9AEB-294BAFEA8CDC}"/>
    <cellStyle name="Normal_SV-QLDA-KTMT" xfId="5" xr:uid="{E0160E7E-02A4-4011-A079-511BCA3E6367}"/>
    <cellStyle name="Normal_SV-ThietkeIC" xfId="4" xr:uid="{85AAE875-1465-45B6-8173-5B9F7D070AF2}"/>
    <cellStyle name="Normal_SV-Thu2" xfId="7" xr:uid="{53DD395A-95E8-4689-BFFE-01AB729A67FF}"/>
    <cellStyle name="Normal_SV-Thu3" xfId="6" xr:uid="{18A1C2E2-3513-4C32-874A-F848DD38DCDA}"/>
  </cellStyles>
  <dxfs count="20">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b val="0"/>
        <i val="0"/>
        <strike val="0"/>
        <condense val="0"/>
        <extend val="0"/>
        <outline val="0"/>
        <shadow val="0"/>
        <u val="none"/>
        <vertAlign val="baseline"/>
        <sz val="11"/>
        <color auto="1"/>
        <name val="Calibri"/>
        <family val="2"/>
        <scheme val="minor"/>
      </font>
      <numFmt numFmtId="164" formatCode="#.0"/>
      <alignment horizontal="center" vertical="bottom" textRotation="0" indent="0" justifyLastLine="0" shrinkToFit="0" readingOrder="0"/>
    </dxf>
    <dxf>
      <font>
        <strike val="0"/>
        <outline val="0"/>
        <shadow val="0"/>
        <u val="none"/>
        <vertAlign val="baseline"/>
        <sz val="11"/>
        <color auto="1"/>
        <name val="Calibri"/>
        <family val="2"/>
        <scheme val="minor"/>
      </font>
      <numFmt numFmtId="164" formatCode="#.0"/>
      <fill>
        <patternFill patternType="none">
          <fgColor indexed="64"/>
          <bgColor auto="1"/>
        </patternFill>
      </fill>
      <alignment horizontal="center" vertical="bottom" textRotation="0"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ill>
        <patternFill patternType="none">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b val="0"/>
        <i val="0"/>
        <strike val="0"/>
        <condense val="0"/>
        <extend val="0"/>
        <outline val="0"/>
        <shadow val="0"/>
        <u val="none"/>
        <vertAlign val="baseline"/>
        <sz val="11"/>
        <color auto="1"/>
        <name val="Calibri"/>
        <family val="2"/>
        <scheme val="minor"/>
      </font>
      <numFmt numFmtId="164" formatCode="#.0"/>
      <alignment horizontal="center" vertical="bottom" textRotation="0" indent="0" justifyLastLine="0" shrinkToFit="0" readingOrder="0"/>
    </dxf>
    <dxf>
      <font>
        <strike val="0"/>
        <outline val="0"/>
        <shadow val="0"/>
        <u val="none"/>
        <vertAlign val="baseline"/>
        <sz val="11"/>
        <color auto="1"/>
        <name val="Calibri"/>
        <family val="2"/>
        <scheme val="minor"/>
      </font>
      <numFmt numFmtId="164" formatCode="#.0"/>
      <fill>
        <patternFill patternType="none">
          <fgColor indexed="64"/>
          <bgColor auto="1"/>
        </patternFill>
      </fill>
      <alignment horizontal="center" vertical="bottom" textRotation="0"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none"/>
      </font>
      <fill>
        <patternFill patternType="none">
          <fgColor rgb="FF000000"/>
          <bgColor auto="1"/>
        </patternFill>
      </fill>
    </dxf>
    <dxf>
      <font>
        <strike val="0"/>
        <outline val="0"/>
        <shadow val="0"/>
        <u val="none"/>
        <vertAlign val="baseline"/>
        <sz val="11"/>
        <color auto="1"/>
        <name val="Calibri"/>
        <family val="2"/>
        <scheme val="none"/>
      </font>
      <fill>
        <patternFill patternType="none">
          <fgColor rgb="FF000000"/>
          <bgColor auto="1"/>
        </patternFill>
      </fill>
    </dxf>
    <dxf>
      <fill>
        <patternFill patternType="none">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none"/>
      </font>
      <fill>
        <patternFill patternType="none">
          <fgColor rgb="FF000000"/>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5</xdr:col>
      <xdr:colOff>331076</xdr:colOff>
      <xdr:row>2</xdr:row>
      <xdr:rowOff>108388</xdr:rowOff>
    </xdr:from>
    <xdr:to>
      <xdr:col>8</xdr:col>
      <xdr:colOff>90652</xdr:colOff>
      <xdr:row>15</xdr:row>
      <xdr:rowOff>156013</xdr:rowOff>
    </xdr:to>
    <mc:AlternateContent xmlns:mc="http://schemas.openxmlformats.org/markup-compatibility/2006" xmlns:sle15="http://schemas.microsoft.com/office/drawing/2012/slicer">
      <mc:Choice Requires="sle15">
        <xdr:graphicFrame macro="">
          <xdr:nvGraphicFramePr>
            <xdr:cNvPr id="2" name="Nhóm bài tập">
              <a:extLst>
                <a:ext uri="{FF2B5EF4-FFF2-40B4-BE49-F238E27FC236}">
                  <a16:creationId xmlns:a16="http://schemas.microsoft.com/office/drawing/2014/main" id="{97314B43-0A57-45CC-A99A-74937B58E7A0}"/>
                </a:ext>
              </a:extLst>
            </xdr:cNvPr>
            <xdr:cNvGraphicFramePr/>
          </xdr:nvGraphicFramePr>
          <xdr:xfrm>
            <a:off x="0" y="0"/>
            <a:ext cx="0" cy="0"/>
          </xdr:xfrm>
          <a:graphic>
            <a:graphicData uri="http://schemas.microsoft.com/office/drawing/2010/slicer">
              <sle:slicer xmlns:sle="http://schemas.microsoft.com/office/drawing/2010/slicer" name="Nhóm bài tập"/>
            </a:graphicData>
          </a:graphic>
        </xdr:graphicFrame>
      </mc:Choice>
      <mc:Fallback xmlns="">
        <xdr:sp macro="" textlink="">
          <xdr:nvSpPr>
            <xdr:cNvPr id="0" name=""/>
            <xdr:cNvSpPr>
              <a:spLocks noTextEdit="1"/>
            </xdr:cNvSpPr>
          </xdr:nvSpPr>
          <xdr:spPr>
            <a:xfrm>
              <a:off x="7701455" y="48938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28903</xdr:colOff>
      <xdr:row>2</xdr:row>
      <xdr:rowOff>121526</xdr:rowOff>
    </xdr:from>
    <xdr:to>
      <xdr:col>9</xdr:col>
      <xdr:colOff>1857703</xdr:colOff>
      <xdr:row>76</xdr:row>
      <xdr:rowOff>169151</xdr:rowOff>
    </xdr:to>
    <mc:AlternateContent xmlns:mc="http://schemas.openxmlformats.org/markup-compatibility/2006" xmlns:sle15="http://schemas.microsoft.com/office/drawing/2012/slicer">
      <mc:Choice Requires="sle15">
        <xdr:graphicFrame macro="">
          <xdr:nvGraphicFramePr>
            <xdr:cNvPr id="2" name="Nhóm bài tập 1">
              <a:extLst>
                <a:ext uri="{FF2B5EF4-FFF2-40B4-BE49-F238E27FC236}">
                  <a16:creationId xmlns:a16="http://schemas.microsoft.com/office/drawing/2014/main" id="{D0E0C223-D666-4E24-BF69-3EA97D1CC922}"/>
                </a:ext>
              </a:extLst>
            </xdr:cNvPr>
            <xdr:cNvGraphicFramePr/>
          </xdr:nvGraphicFramePr>
          <xdr:xfrm>
            <a:off x="0" y="0"/>
            <a:ext cx="0" cy="0"/>
          </xdr:xfrm>
          <a:graphic>
            <a:graphicData uri="http://schemas.microsoft.com/office/drawing/2010/slicer">
              <sle:slicer xmlns:sle="http://schemas.microsoft.com/office/drawing/2010/slicer" name="Nhóm bài tập 1"/>
            </a:graphicData>
          </a:graphic>
        </xdr:graphicFrame>
      </mc:Choice>
      <mc:Fallback xmlns="">
        <xdr:sp macro="" textlink="">
          <xdr:nvSpPr>
            <xdr:cNvPr id="0" name=""/>
            <xdr:cNvSpPr>
              <a:spLocks noTextEdit="1"/>
            </xdr:cNvSpPr>
          </xdr:nvSpPr>
          <xdr:spPr>
            <a:xfrm>
              <a:off x="7340162" y="31202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bài_tập" xr10:uid="{A4156070-18AB-4069-946D-FC569C81F37C}" sourceName="Nhóm bài tập">
  <extLst>
    <x:ext xmlns:x15="http://schemas.microsoft.com/office/spreadsheetml/2010/11/main" uri="{2F2917AC-EB37-4324-AD4E-5DD8C200BD13}">
      <x15:tableSlicerCache tableId="3" column="18"/>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bài_tập1" xr10:uid="{5B152FC5-3E56-4353-B3CB-61D6A1074BCC}" sourceName="Nhóm bài tập">
  <extLst>
    <x:ext xmlns:x15="http://schemas.microsoft.com/office/spreadsheetml/2010/11/main" uri="{2F2917AC-EB37-4324-AD4E-5DD8C200BD13}">
      <x15:tableSlicerCache tableId="1"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hóm bài tập" xr10:uid="{56AF1E96-4C40-4B71-991B-23D4A2808AE8}" cache="Slicer_Nhóm_bài_tập" caption="Nhóm bài tập"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hóm bài tập 1" xr10:uid="{3D0D25E6-3BF1-46AB-BC99-35308606B735}" cache="Slicer_Nhóm_bài_tập1" caption="Nhóm bài tập" startItem="1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38E0B58-224A-4453-97E2-FF3846FAB97A}" name="Table15389" displayName="Table15389" ref="B1:D126" totalsRowShown="0" dataDxfId="19">
  <autoFilter ref="B1:D126" xr:uid="{8E1EF4E8-DF43-4EAA-BB32-9C6B89685A47}"/>
  <tableColumns count="3">
    <tableColumn id="1" xr3:uid="{0D1C09F4-5D63-4C61-BD68-EA5BA5025D31}" name="StudentId"/>
    <tableColumn id="2" xr3:uid="{2734BE9B-8A4A-4854-A0DC-4AFFBB8EF1BA}" name="StudentName"/>
    <tableColumn id="7" xr3:uid="{D9A327E3-4612-42F8-A7B7-811E0FAF08C6}" name="Email" dataDxfId="18">
      <calculatedColumnFormula array="1">_xll.HUST.EmailSinhVien(Table15389[[#This Row],[StudentName]],Table15389[[#This Row],[StudentId]])</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192204-B3CB-4854-BE96-127619D9FBD8}" name="Table1534" displayName="Table1534" ref="A1:J21" totalsRowShown="0" headerRowDxfId="17" dataDxfId="16">
  <autoFilter ref="A1:J21" xr:uid="{8E1EF4E8-DF43-4EAA-BB32-9C6B89685A47}"/>
  <sortState xmlns:xlrd2="http://schemas.microsoft.com/office/spreadsheetml/2017/richdata2" ref="A2:J21">
    <sortCondition ref="A1:A21"/>
  </sortState>
  <tableColumns count="10">
    <tableColumn id="20" xr3:uid="{5DC81009-E17D-4A6B-8A0B-D83F13117131}" name="STT" dataDxfId="15"/>
    <tableColumn id="1" xr3:uid="{87C985E3-F222-4700-B881-45DED257625A}" name="MSSV"/>
    <tableColumn id="2" xr3:uid="{4FEC9A92-1151-4B0B-B496-589B667D0F05}" name="Họ và tên"/>
    <tableColumn id="7" xr3:uid="{69D2073C-6777-4146-8568-BC8F6CA5AB97}" name="Nội dung" dataDxfId="14">
      <calculatedColumnFormula>IF(AND(NOT(ISBLANK(Table1534[[#This Row],[Họ và tên]])), NOT(ISBLANK(Table1534[[#This Row],[MSSV]]))),#REF!&amp;"."&amp;LOWER(#REF!)&amp;RIGHT(Table1534[[#This Row],[MSSV]],6) &amp; "@sis.hust.edu.vn","")</calculatedColumnFormula>
    </tableColumn>
    <tableColumn id="8" xr3:uid="{8494047E-9A46-499A-8037-7BD84BE643C0}" name="GK" dataDxfId="13"/>
    <tableColumn id="9" xr3:uid="{33CADE06-14CF-47BD-9876-D8E4B5BB32DE}" name="CK"/>
    <tableColumn id="14" xr3:uid="{3EAF29BE-9E4C-4E84-8D19-CF313D032FB9}" name="HP" dataDxfId="12">
      <calculatedColumnFormula>Table1534[[#This Row],[GK]]*0.3+Table1534[[#This Row],[CK]]*0.7</calculatedColumnFormula>
    </tableColumn>
    <tableColumn id="18" xr3:uid="{A8F57A5B-F7C3-44EA-A6D9-07951E2F28C2}" name="Nhóm bài tập" dataDxfId="11"/>
    <tableColumn id="19" xr3:uid="{CF3A9729-46AE-4A95-8722-A0AB932FBFF3}" name="GitHub" dataDxfId="10"/>
    <tableColumn id="21" xr3:uid="{84C58B36-693C-421D-B09A-19D21CBDB180}" name="MSPlanner" dataDxfId="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88179F-1B83-493E-877A-BE4143ACF788}" name="Table15342" displayName="Table15342" ref="A1:J87" totalsRowShown="0" headerRowDxfId="8" dataDxfId="7">
  <autoFilter ref="A1:J87" xr:uid="{8E1EF4E8-DF43-4EAA-BB32-9C6B89685A47}">
    <filterColumn colId="7">
      <filters blank="1"/>
    </filterColumn>
  </autoFilter>
  <sortState xmlns:xlrd2="http://schemas.microsoft.com/office/spreadsheetml/2017/richdata2" ref="A2:J21">
    <sortCondition ref="A1:A21"/>
  </sortState>
  <tableColumns count="10">
    <tableColumn id="20" xr3:uid="{12F124A3-ED2F-45DA-819F-5E565E040418}" name="STT" dataDxfId="6"/>
    <tableColumn id="1" xr3:uid="{994D899F-62AD-4CC7-8AB8-4A771DE4D4E1}" name="MSSV"/>
    <tableColumn id="2" xr3:uid="{A2D37DC7-D69E-4050-B2A5-958AED504C2E}" name="Họ và tên"/>
    <tableColumn id="7" xr3:uid="{C9F188E6-BBD4-43D2-8E7C-BC8A4869F950}" name="Email" dataDxfId="5"/>
    <tableColumn id="8" xr3:uid="{D8EAD100-8097-48E3-8FFC-674B9536F8D5}" name="GK" dataDxfId="4"/>
    <tableColumn id="9" xr3:uid="{17513EB2-D6D8-4B05-AFFE-F7E48A084766}" name="CK"/>
    <tableColumn id="14" xr3:uid="{DA203727-0D44-44EE-8916-A407615C3975}" name="HP" dataDxfId="3">
      <calculatedColumnFormula>Table15342[[#This Row],[GK]]*0.3+Table15342[[#This Row],[CK]]*0.7</calculatedColumnFormula>
    </tableColumn>
    <tableColumn id="18" xr3:uid="{14BC7C8A-84E1-424A-8FB9-1CB481B4BA67}" name="Nhóm bài tập" dataDxfId="2"/>
    <tableColumn id="19" xr3:uid="{BE3E0D9F-3CA1-40C5-8354-E8A204DB596E}" name="GitHub" dataDxfId="1"/>
    <tableColumn id="21" xr3:uid="{8E2A5D85-2AC7-48E1-BC34-00E090BEA4A5}" name="MSPlanner"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hyperlink" Target="https://github.com/OfficeDev/Excel-IO" TargetMode="External"/><Relationship Id="rId7" Type="http://schemas.openxmlformats.org/officeDocument/2006/relationships/drawing" Target="../drawings/drawing1.xml"/><Relationship Id="rId2" Type="http://schemas.openxmlformats.org/officeDocument/2006/relationships/hyperlink" Target="https://github.com/OfficeDev/microsoft-teams-sample-meetings-token" TargetMode="External"/><Relationship Id="rId1" Type="http://schemas.openxmlformats.org/officeDocument/2006/relationships/hyperlink" Target="https://github.com/OfficeDev/Excel-Custom-Functions" TargetMode="External"/><Relationship Id="rId6" Type="http://schemas.openxmlformats.org/officeDocument/2006/relationships/printerSettings" Target="../printerSettings/printerSettings2.bin"/><Relationship Id="rId5" Type="http://schemas.openxmlformats.org/officeDocument/2006/relationships/hyperlink" Target="https://github.com/OfficeDev/office-toolbox" TargetMode="External"/><Relationship Id="rId4" Type="http://schemas.openxmlformats.org/officeDocument/2006/relationships/hyperlink" Target="https://github.com/OfficeDev/microsoft-teams-apps-visitormanagement" TargetMode="Externa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icrosoft/Recognizers-Text" TargetMode="External"/><Relationship Id="rId13" Type="http://schemas.openxmlformats.org/officeDocument/2006/relationships/hyperlink" Target="https://github.com/hyperoslo/ImagePicker" TargetMode="External"/><Relationship Id="rId18" Type="http://schemas.openxmlformats.org/officeDocument/2006/relationships/hyperlink" Target="https://github.com/googleapis/nodejs-translate" TargetMode="External"/><Relationship Id="rId26" Type="http://schemas.openxmlformats.org/officeDocument/2006/relationships/table" Target="../tables/table3.xml"/><Relationship Id="rId3" Type="http://schemas.openxmlformats.org/officeDocument/2006/relationships/hyperlink" Target="https://github.com/OfficeDev/microsoft-teams-apps-visitormanagement" TargetMode="External"/><Relationship Id="rId21" Type="http://schemas.openxmlformats.org/officeDocument/2006/relationships/hyperlink" Target="https://github.com/davidshimjs/qrcodejs" TargetMode="External"/><Relationship Id="rId7" Type="http://schemas.openxmlformats.org/officeDocument/2006/relationships/hyperlink" Target="https://github.com/OfficeDev/Excel-Custom-Functions" TargetMode="External"/><Relationship Id="rId12" Type="http://schemas.openxmlformats.org/officeDocument/2006/relationships/hyperlink" Target="https://github.com/OlafenwaMoses/ImageAI" TargetMode="External"/><Relationship Id="rId17" Type="http://schemas.openxmlformats.org/officeDocument/2006/relationships/hyperlink" Target="https://github.com/CopyTranslator/CopyTranslator" TargetMode="External"/><Relationship Id="rId25" Type="http://schemas.openxmlformats.org/officeDocument/2006/relationships/drawing" Target="../drawings/drawing2.xml"/><Relationship Id="rId2" Type="http://schemas.openxmlformats.org/officeDocument/2006/relationships/hyperlink" Target="https://github.com/microsoft/TypeScript-Website" TargetMode="External"/><Relationship Id="rId16" Type="http://schemas.openxmlformats.org/officeDocument/2006/relationships/hyperlink" Target="https://github.com/translate/translate" TargetMode="External"/><Relationship Id="rId20" Type="http://schemas.openxmlformats.org/officeDocument/2006/relationships/hyperlink" Target="https://github.com/encode/django-rest-framework" TargetMode="External"/><Relationship Id="rId1" Type="http://schemas.openxmlformats.org/officeDocument/2006/relationships/hyperlink" Target="https://github.com/cezarypiatek/MappingGenerator" TargetMode="External"/><Relationship Id="rId6" Type="http://schemas.openxmlformats.org/officeDocument/2006/relationships/hyperlink" Target="https://github.com/OfficeDev/microsoft-teams-sample-meetings-token" TargetMode="External"/><Relationship Id="rId11" Type="http://schemas.openxmlformats.org/officeDocument/2006/relationships/hyperlink" Target="https://github.com/Intervention/image" TargetMode="External"/><Relationship Id="rId24" Type="http://schemas.openxmlformats.org/officeDocument/2006/relationships/printerSettings" Target="../printerSettings/printerSettings3.bin"/><Relationship Id="rId5" Type="http://schemas.openxmlformats.org/officeDocument/2006/relationships/hyperlink" Target="https://github.com/OfficeDev/office-toolbox" TargetMode="External"/><Relationship Id="rId15" Type="http://schemas.openxmlformats.org/officeDocument/2006/relationships/hyperlink" Target="https://github.com/vinc3m1/RoundedImageView" TargetMode="External"/><Relationship Id="rId23" Type="http://schemas.openxmlformats.org/officeDocument/2006/relationships/hyperlink" Target="https://github.com/jeromeetienne/jquery-qrcode" TargetMode="External"/><Relationship Id="rId10" Type="http://schemas.openxmlformats.org/officeDocument/2006/relationships/hyperlink" Target="https://github.com/buitu3/Portal-Puzzle-Unity/tree/master/Portal%20Puzzle" TargetMode="External"/><Relationship Id="rId19" Type="http://schemas.openxmlformats.org/officeDocument/2006/relationships/hyperlink" Target="https://github.com/rtshadow/biometrics" TargetMode="External"/><Relationship Id="rId4" Type="http://schemas.openxmlformats.org/officeDocument/2006/relationships/hyperlink" Target="https://github.com/OfficeDev/Excel-IO" TargetMode="External"/><Relationship Id="rId9" Type="http://schemas.openxmlformats.org/officeDocument/2006/relationships/hyperlink" Target="https://github.com/DungNM1311/FinalProjectHust" TargetMode="External"/><Relationship Id="rId14" Type="http://schemas.openxmlformats.org/officeDocument/2006/relationships/hyperlink" Target="https://github.com/SixLabors/ImageSharp" TargetMode="External"/><Relationship Id="rId22" Type="http://schemas.openxmlformats.org/officeDocument/2006/relationships/hyperlink" Target="https://github.com/LazarSoft/jsqrcode" TargetMode="External"/><Relationship Id="rId27"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C7112-569C-4F55-98A2-94FDBACEB04C}">
  <sheetPr codeName="Sheet12"/>
  <dimension ref="A1:D133"/>
  <sheetViews>
    <sheetView zoomScale="85" zoomScaleNormal="85" workbookViewId="0">
      <selection activeCell="F14" sqref="F14"/>
    </sheetView>
  </sheetViews>
  <sheetFormatPr defaultRowHeight="15" x14ac:dyDescent="0.25"/>
  <cols>
    <col min="2" max="2" width="9" bestFit="1" customWidth="1"/>
    <col min="3" max="3" width="22.140625" bestFit="1" customWidth="1"/>
    <col min="4" max="4" width="33.28515625" bestFit="1" customWidth="1"/>
  </cols>
  <sheetData>
    <row r="1" spans="1:4" x14ac:dyDescent="0.25">
      <c r="A1" t="s">
        <v>6</v>
      </c>
      <c r="B1" s="6" t="s">
        <v>117</v>
      </c>
      <c r="C1" s="6" t="s">
        <v>118</v>
      </c>
      <c r="D1" t="s">
        <v>1</v>
      </c>
    </row>
    <row r="2" spans="1:4" x14ac:dyDescent="0.25">
      <c r="A2" s="14">
        <v>1</v>
      </c>
      <c r="B2" s="16" t="s">
        <v>119</v>
      </c>
      <c r="C2" s="17" t="s">
        <v>120</v>
      </c>
      <c r="D2" s="2" t="str" cm="1">
        <f t="array" ref="D2">_xll.HUST.EmailSinhVien(Table15389[[#This Row],[StudentName]],Table15389[[#This Row],[StudentId]])</f>
        <v>Thu.NT205030@sis.hust.edu.vn</v>
      </c>
    </row>
    <row r="3" spans="1:4" x14ac:dyDescent="0.25">
      <c r="A3" s="14">
        <v>2</v>
      </c>
      <c r="B3" s="16" t="s">
        <v>121</v>
      </c>
      <c r="C3" s="17" t="s">
        <v>122</v>
      </c>
      <c r="D3" s="2" t="str" cm="1">
        <f t="array" ref="D3">_xll.HUST.EmailSinhVien(Table15389[[#This Row],[StudentName]],Table15389[[#This Row],[StudentId]])</f>
        <v>Tien.NH208001@sis.hust.edu.vn</v>
      </c>
    </row>
    <row r="4" spans="1:4" x14ac:dyDescent="0.25">
      <c r="A4" s="14">
        <v>3</v>
      </c>
      <c r="B4" s="16" t="s">
        <v>123</v>
      </c>
      <c r="C4" s="17" t="s">
        <v>124</v>
      </c>
      <c r="D4" s="2" t="str" cm="1">
        <f t="array" ref="D4">_xll.HUST.EmailSinhVien(Table15389[[#This Row],[StudentName]],Table15389[[#This Row],[StudentId]])</f>
        <v>Kien.NT205091@sis.hust.edu.vn</v>
      </c>
    </row>
    <row r="5" spans="1:4" x14ac:dyDescent="0.25">
      <c r="A5" s="14">
        <v>4</v>
      </c>
      <c r="B5" s="16" t="s">
        <v>125</v>
      </c>
      <c r="C5" s="17" t="s">
        <v>126</v>
      </c>
      <c r="D5" s="2" t="str" cm="1">
        <f t="array" ref="D5">_xll.HUST.EmailSinhVien(Table15389[[#This Row],[StudentName]],Table15389[[#This Row],[StudentId]])</f>
        <v>Ngoc.TT205009@sis.hust.edu.vn</v>
      </c>
    </row>
    <row r="6" spans="1:4" x14ac:dyDescent="0.25">
      <c r="A6" s="14"/>
      <c r="B6" s="16" t="s">
        <v>127</v>
      </c>
      <c r="C6" s="17" t="s">
        <v>128</v>
      </c>
      <c r="D6" s="2" t="str" cm="1">
        <f t="array" ref="D6">_xll.HUST.EmailSinhVien(Table15389[[#This Row],[StudentName]],Table15389[[#This Row],[StudentId]])</f>
        <v>Son.PN205124@sis.hust.edu.vn</v>
      </c>
    </row>
    <row r="7" spans="1:4" x14ac:dyDescent="0.25">
      <c r="A7" s="14"/>
      <c r="B7" s="16" t="s">
        <v>129</v>
      </c>
      <c r="C7" s="17" t="s">
        <v>22</v>
      </c>
      <c r="D7" s="2" t="str" cm="1">
        <f t="array" ref="D7">_xll.HUST.EmailSinhVien(Table15389[[#This Row],[StudentName]],Table15389[[#This Row],[StudentId]])</f>
        <v>Hoang.NH204980@sis.hust.edu.vn</v>
      </c>
    </row>
    <row r="8" spans="1:4" x14ac:dyDescent="0.25">
      <c r="A8" s="14"/>
      <c r="B8" s="16" t="s">
        <v>130</v>
      </c>
      <c r="C8" s="17" t="s">
        <v>27</v>
      </c>
      <c r="D8" s="2" t="str" cm="1">
        <f t="array" ref="D8">_xll.HUST.EmailSinhVien(Table15389[[#This Row],[StudentName]],Table15389[[#This Row],[StudentId]])</f>
        <v>Long.NH200364@sis.hust.edu.vn</v>
      </c>
    </row>
    <row r="9" spans="1:4" x14ac:dyDescent="0.25">
      <c r="A9" s="14"/>
      <c r="B9" s="16" t="s">
        <v>131</v>
      </c>
      <c r="C9" s="17" t="s">
        <v>8</v>
      </c>
      <c r="D9" s="2" t="str" cm="1">
        <f t="array" ref="D9">_xll.HUST.EmailSinhVien(Table15389[[#This Row],[StudentName]],Table15389[[#This Row],[StudentId]])</f>
        <v>Dung.NT204957@sis.hust.edu.vn</v>
      </c>
    </row>
    <row r="10" spans="1:4" x14ac:dyDescent="0.25">
      <c r="A10" s="14"/>
      <c r="B10" s="16" t="s">
        <v>132</v>
      </c>
      <c r="C10" s="17" t="s">
        <v>133</v>
      </c>
      <c r="D10" s="2" t="str" cm="1">
        <f t="array" ref="D10">_xll.HUST.EmailSinhVien(Table15389[[#This Row],[StudentName]],Table15389[[#This Row],[StudentId]])</f>
        <v>An.NDT204936@sis.hust.edu.vn</v>
      </c>
    </row>
    <row r="11" spans="1:4" x14ac:dyDescent="0.25">
      <c r="A11" s="14"/>
      <c r="B11" s="16" t="s">
        <v>134</v>
      </c>
      <c r="C11" s="17" t="s">
        <v>135</v>
      </c>
      <c r="D11" s="2" t="str" cm="1">
        <f t="array" ref="D11">_xll.HUST.EmailSinhVien(Table15389[[#This Row],[StudentName]],Table15389[[#This Row],[StudentId]])</f>
        <v>Viet.VQ205048@sis.hust.edu.vn</v>
      </c>
    </row>
    <row r="12" spans="1:4" x14ac:dyDescent="0.25">
      <c r="A12" s="14"/>
      <c r="B12" s="16" t="s">
        <v>136</v>
      </c>
      <c r="C12" s="17" t="s">
        <v>137</v>
      </c>
      <c r="D12" s="2" t="str" cm="1">
        <f t="array" ref="D12">_xll.HUST.EmailSinhVien(Table15389[[#This Row],[StudentName]],Table15389[[#This Row],[StudentId]])</f>
        <v>Anh.NN200029@sis.hust.edu.vn</v>
      </c>
    </row>
    <row r="13" spans="1:4" x14ac:dyDescent="0.25">
      <c r="A13" s="14"/>
      <c r="B13" s="16" t="s">
        <v>138</v>
      </c>
      <c r="C13" s="17" t="s">
        <v>139</v>
      </c>
      <c r="D13" s="2" t="str" cm="1">
        <f t="array" ref="D13">_xll.HUST.EmailSinhVien(Table15389[[#This Row],[StudentName]],Table15389[[#This Row],[StudentId]])</f>
        <v>Anh.PT205054@sis.hust.edu.vn</v>
      </c>
    </row>
    <row r="14" spans="1:4" x14ac:dyDescent="0.25">
      <c r="A14" s="14"/>
      <c r="B14" s="16" t="s">
        <v>140</v>
      </c>
      <c r="C14" s="17" t="s">
        <v>141</v>
      </c>
      <c r="D14" s="2" t="str" cm="1">
        <f t="array" ref="D14">_xll.HUST.EmailSinhVien(Table15389[[#This Row],[StudentName]],Table15389[[#This Row],[StudentId]])</f>
        <v>Thai.LD205020@sis.hust.edu.vn</v>
      </c>
    </row>
    <row r="15" spans="1:4" x14ac:dyDescent="0.25">
      <c r="A15" s="14"/>
      <c r="B15" s="16" t="s">
        <v>142</v>
      </c>
      <c r="C15" s="17" t="s">
        <v>143</v>
      </c>
      <c r="D15" s="2" t="str" cm="1">
        <f t="array" ref="D15">_xll.HUST.EmailSinhVien(Table15389[[#This Row],[StudentName]],Table15389[[#This Row],[StudentId]])</f>
        <v>Minh.DX205100@sis.hust.edu.vn</v>
      </c>
    </row>
    <row r="16" spans="1:4" x14ac:dyDescent="0.25">
      <c r="A16" s="14"/>
      <c r="B16" s="16" t="s">
        <v>144</v>
      </c>
      <c r="C16" s="17" t="s">
        <v>145</v>
      </c>
      <c r="D16" s="2" t="str" cm="1">
        <f t="array" ref="D16">_xll.HUST.EmailSinhVien(Table15389[[#This Row],[StudentName]],Table15389[[#This Row],[StudentId]])</f>
        <v>Minh.L200396@sis.hust.edu.vn</v>
      </c>
    </row>
    <row r="17" spans="1:4" x14ac:dyDescent="0.25">
      <c r="A17" s="14"/>
      <c r="B17" s="16" t="s">
        <v>146</v>
      </c>
      <c r="C17" s="17" t="s">
        <v>147</v>
      </c>
      <c r="D17" s="2" t="str" cm="1">
        <f t="array" ref="D17">_xll.HUST.EmailSinhVien(Table15389[[#This Row],[StudentName]],Table15389[[#This Row],[StudentId]])</f>
        <v>Duc.NA200167@sis.hust.edu.vn</v>
      </c>
    </row>
    <row r="18" spans="1:4" x14ac:dyDescent="0.25">
      <c r="A18" s="14"/>
      <c r="B18" s="16" t="s">
        <v>148</v>
      </c>
      <c r="C18" s="17" t="s">
        <v>149</v>
      </c>
      <c r="D18" s="2" t="str" cm="1">
        <f t="array" ref="D18">_xll.HUST.EmailSinhVien(Table15389[[#This Row],[StudentName]],Table15389[[#This Row],[StudentId]])</f>
        <v>Nguyet.HM205010@sis.hust.edu.vn</v>
      </c>
    </row>
    <row r="19" spans="1:4" x14ac:dyDescent="0.25">
      <c r="A19" s="14"/>
      <c r="B19" s="16" t="s">
        <v>150</v>
      </c>
      <c r="C19" s="17" t="s">
        <v>151</v>
      </c>
      <c r="D19" s="2" t="str" cm="1">
        <f t="array" ref="D19">_xll.HUST.EmailSinhVien(Table15389[[#This Row],[StudentName]],Table15389[[#This Row],[StudentId]])</f>
        <v>Cuong.NK205061@sis.hust.edu.vn</v>
      </c>
    </row>
    <row r="20" spans="1:4" x14ac:dyDescent="0.25">
      <c r="A20" s="14"/>
      <c r="B20" s="16" t="s">
        <v>152</v>
      </c>
      <c r="C20" s="17" t="s">
        <v>26</v>
      </c>
      <c r="D20" s="2" t="str" cm="1">
        <f t="array" ref="D20">_xll.HUST.EmailSinhVien(Table15389[[#This Row],[StudentName]],Table15389[[#This Row],[StudentId]])</f>
        <v>Hieu.LT207999@sis.hust.edu.vn</v>
      </c>
    </row>
    <row r="21" spans="1:4" x14ac:dyDescent="0.25">
      <c r="A21" s="14"/>
      <c r="B21" s="16" t="s">
        <v>153</v>
      </c>
      <c r="C21" s="17" t="s">
        <v>154</v>
      </c>
      <c r="D21" s="2" t="str" cm="1">
        <f t="array" ref="D21">_xll.HUST.EmailSinhVien(Table15389[[#This Row],[StudentName]],Table15389[[#This Row],[StudentId]])</f>
        <v>Nghia.LQ205007@sis.hust.edu.vn</v>
      </c>
    </row>
    <row r="22" spans="1:4" x14ac:dyDescent="0.25">
      <c r="A22" s="14"/>
      <c r="B22" s="16" t="s">
        <v>155</v>
      </c>
      <c r="C22" s="17" t="s">
        <v>156</v>
      </c>
      <c r="D22" s="2" t="str" cm="1">
        <f t="array" ref="D22">_xll.HUST.EmailSinhVien(Table15389[[#This Row],[StudentName]],Table15389[[#This Row],[StudentId]])</f>
        <v>Huy.NDG205085@sis.hust.edu.vn</v>
      </c>
    </row>
    <row r="23" spans="1:4" x14ac:dyDescent="0.25">
      <c r="A23" s="14"/>
      <c r="B23" s="16" t="s">
        <v>157</v>
      </c>
      <c r="C23" s="17" t="s">
        <v>158</v>
      </c>
      <c r="D23" s="2" t="str" cm="1">
        <f t="array" ref="D23">_xll.HUST.EmailSinhVien(Table15389[[#This Row],[StudentName]],Table15389[[#This Row],[StudentId]])</f>
        <v>Hien.NTT205078@sis.hust.edu.vn</v>
      </c>
    </row>
    <row r="24" spans="1:4" x14ac:dyDescent="0.25">
      <c r="A24" s="14"/>
      <c r="B24" s="16" t="s">
        <v>159</v>
      </c>
      <c r="C24" s="17" t="s">
        <v>160</v>
      </c>
      <c r="D24" s="2" t="str" cm="1">
        <f t="array" ref="D24">_xll.HUST.EmailSinhVien(Table15389[[#This Row],[StudentName]],Table15389[[#This Row],[StudentId]])</f>
        <v>Duc.LH205067@sis.hust.edu.vn</v>
      </c>
    </row>
    <row r="25" spans="1:4" x14ac:dyDescent="0.25">
      <c r="A25" s="14"/>
      <c r="B25" s="16" t="s">
        <v>161</v>
      </c>
      <c r="C25" s="17" t="s">
        <v>162</v>
      </c>
      <c r="D25" s="2" t="str" cm="1">
        <f t="array" ref="D25">_xll.HUST.EmailSinhVien(Table15389[[#This Row],[StudentName]],Table15389[[#This Row],[StudentId]])</f>
        <v>Tung.CT200569@sis.hust.edu.vn</v>
      </c>
    </row>
    <row r="26" spans="1:4" x14ac:dyDescent="0.25">
      <c r="A26" s="14"/>
      <c r="B26" s="16" t="s">
        <v>163</v>
      </c>
      <c r="C26" s="17" t="s">
        <v>164</v>
      </c>
      <c r="D26" s="2" t="str" cm="1">
        <f t="array" ref="D26">_xll.HUST.EmailSinhVien(Table15389[[#This Row],[StudentName]],Table15389[[#This Row],[StudentId]])</f>
        <v>Vinh.ND205049@sis.hust.edu.vn</v>
      </c>
    </row>
    <row r="27" spans="1:4" x14ac:dyDescent="0.25">
      <c r="A27" s="14"/>
      <c r="B27" s="16" t="s">
        <v>165</v>
      </c>
      <c r="C27" s="17" t="s">
        <v>166</v>
      </c>
      <c r="D27" s="2" t="str" cm="1">
        <f t="array" ref="D27">_xll.HUST.EmailSinhVien(Table15389[[#This Row],[StudentName]],Table15389[[#This Row],[StudentId]])</f>
        <v>Minh.ND200401@sis.hust.edu.vn</v>
      </c>
    </row>
    <row r="28" spans="1:4" x14ac:dyDescent="0.25">
      <c r="A28" s="14"/>
      <c r="B28" s="16" t="s">
        <v>167</v>
      </c>
      <c r="C28" s="17" t="s">
        <v>168</v>
      </c>
      <c r="D28" s="2" t="str" cm="1">
        <f t="array" ref="D28">_xll.HUST.EmailSinhVien(Table15389[[#This Row],[StudentName]],Table15389[[#This Row],[StudentId]])</f>
        <v>Viet.MH205047@sis.hust.edu.vn</v>
      </c>
    </row>
    <row r="29" spans="1:4" x14ac:dyDescent="0.25">
      <c r="A29" s="14"/>
      <c r="B29" s="16" t="s">
        <v>169</v>
      </c>
      <c r="C29" s="17" t="s">
        <v>170</v>
      </c>
      <c r="D29" s="2" t="str" cm="1">
        <f t="array" ref="D29">_xll.HUST.EmailSinhVien(Table15389[[#This Row],[StudentName]],Table15389[[#This Row],[StudentId]])</f>
        <v>Duy.LDA200111@sis.hust.edu.vn</v>
      </c>
    </row>
    <row r="30" spans="1:4" x14ac:dyDescent="0.25">
      <c r="A30" s="14"/>
      <c r="B30" s="16" t="s">
        <v>171</v>
      </c>
      <c r="C30" s="17" t="s">
        <v>172</v>
      </c>
      <c r="D30" s="2" t="str" cm="1">
        <f t="array" ref="D30">_xll.HUST.EmailSinhVien(Table15389[[#This Row],[StudentName]],Table15389[[#This Row],[StudentId]])</f>
        <v>Dong.PB200156@sis.hust.edu.vn</v>
      </c>
    </row>
    <row r="31" spans="1:4" x14ac:dyDescent="0.25">
      <c r="A31" s="14"/>
      <c r="B31" s="16" t="s">
        <v>173</v>
      </c>
      <c r="C31" s="17" t="s">
        <v>174</v>
      </c>
      <c r="D31" s="2" t="str" cm="1">
        <f t="array" ref="D31">_xll.HUST.EmailSinhVien(Table15389[[#This Row],[StudentName]],Table15389[[#This Row],[StudentId]])</f>
        <v>Hanh.NTH204964@sis.hust.edu.vn</v>
      </c>
    </row>
    <row r="32" spans="1:4" x14ac:dyDescent="0.25">
      <c r="A32" s="14"/>
      <c r="B32" s="16" t="s">
        <v>175</v>
      </c>
      <c r="C32" s="17" t="s">
        <v>176</v>
      </c>
      <c r="D32" s="2" t="str" cm="1">
        <f t="array" ref="D32">_xll.HUST.EmailSinhVien(Table15389[[#This Row],[StudentName]],Table15389[[#This Row],[StudentId]])</f>
        <v>Loc.PT205095@sis.hust.edu.vn</v>
      </c>
    </row>
    <row r="33" spans="1:4" x14ac:dyDescent="0.25">
      <c r="A33" s="14"/>
      <c r="B33" s="16" t="s">
        <v>177</v>
      </c>
      <c r="C33" s="17" t="s">
        <v>178</v>
      </c>
      <c r="D33" s="2" t="str" cm="1">
        <f t="array" ref="D33">_xll.HUST.EmailSinhVien(Table15389[[#This Row],[StudentName]],Table15389[[#This Row],[StudentId]])</f>
        <v>Binh.NKT204944@sis.hust.edu.vn</v>
      </c>
    </row>
    <row r="34" spans="1:4" x14ac:dyDescent="0.25">
      <c r="A34" s="14"/>
      <c r="B34" s="16" t="s">
        <v>179</v>
      </c>
      <c r="C34" s="17" t="s">
        <v>180</v>
      </c>
      <c r="D34" s="2" t="str" cm="1">
        <f t="array" ref="D34">_xll.HUST.EmailSinhVien(Table15389[[#This Row],[StudentName]],Table15389[[#This Row],[StudentId]])</f>
        <v>Minh.TD205003@sis.hust.edu.vn</v>
      </c>
    </row>
    <row r="35" spans="1:4" x14ac:dyDescent="0.25">
      <c r="A35" s="14"/>
      <c r="B35" s="16" t="s">
        <v>181</v>
      </c>
      <c r="C35" s="17" t="s">
        <v>182</v>
      </c>
      <c r="D35" s="2" t="str" cm="1">
        <f t="array" ref="D35">_xll.HUST.EmailSinhVien(Table15389[[#This Row],[StudentName]],Table15389[[#This Row],[StudentId]])</f>
        <v>Duc.PT205069@sis.hust.edu.vn</v>
      </c>
    </row>
    <row r="36" spans="1:4" x14ac:dyDescent="0.25">
      <c r="A36" s="14"/>
      <c r="B36" s="16" t="s">
        <v>183</v>
      </c>
      <c r="C36" s="17" t="s">
        <v>184</v>
      </c>
      <c r="D36" s="2" t="str" cm="1">
        <f t="array" ref="D36">_xll.HUST.EmailSinhVien(Table15389[[#This Row],[StudentName]],Table15389[[#This Row],[StudentId]])</f>
        <v>Anh.VQ204942@sis.hust.edu.vn</v>
      </c>
    </row>
    <row r="37" spans="1:4" x14ac:dyDescent="0.25">
      <c r="A37" s="14"/>
      <c r="B37" s="16" t="s">
        <v>185</v>
      </c>
      <c r="C37" s="17" t="s">
        <v>186</v>
      </c>
      <c r="D37" s="2" t="str" cm="1">
        <f t="array" ref="D37">_xll.HUST.EmailSinhVien(Table15389[[#This Row],[StudentName]],Table15389[[#This Row],[StudentId]])</f>
        <v>Tuan.ND205040@sis.hust.edu.vn</v>
      </c>
    </row>
    <row r="38" spans="1:4" x14ac:dyDescent="0.25">
      <c r="A38" s="14"/>
      <c r="B38" s="16" t="s">
        <v>187</v>
      </c>
      <c r="C38" s="17" t="s">
        <v>188</v>
      </c>
      <c r="D38" s="2" t="str" cm="1">
        <f t="array" ref="D38">_xll.HUST.EmailSinhVien(Table15389[[#This Row],[StudentName]],Table15389[[#This Row],[StudentId]])</f>
        <v>Thai.DD205019@sis.hust.edu.vn</v>
      </c>
    </row>
    <row r="39" spans="1:4" x14ac:dyDescent="0.25">
      <c r="A39" s="14"/>
      <c r="B39" s="16" t="s">
        <v>189</v>
      </c>
      <c r="C39" s="17" t="s">
        <v>190</v>
      </c>
      <c r="D39" s="2" t="str" cm="1">
        <f t="array" ref="D39">_xll.HUST.EmailSinhVien(Table15389[[#This Row],[StudentName]],Table15389[[#This Row],[StudentId]])</f>
        <v>Phong.NG205013@sis.hust.edu.vn</v>
      </c>
    </row>
    <row r="40" spans="1:4" x14ac:dyDescent="0.25">
      <c r="A40" s="14"/>
      <c r="B40" s="16" t="s">
        <v>191</v>
      </c>
      <c r="C40" s="17" t="s">
        <v>192</v>
      </c>
      <c r="D40" s="2" t="str" cm="1">
        <f t="array" ref="D40">_xll.HUST.EmailSinhVien(Table15389[[#This Row],[StudentName]],Table15389[[#This Row],[StudentId]])</f>
        <v>Nghia.HN205006@sis.hust.edu.vn</v>
      </c>
    </row>
    <row r="41" spans="1:4" x14ac:dyDescent="0.25">
      <c r="A41" s="14"/>
      <c r="B41" s="16" t="s">
        <v>193</v>
      </c>
      <c r="C41" s="17" t="s">
        <v>194</v>
      </c>
      <c r="D41" s="2" t="str" cm="1">
        <f t="array" ref="D41">_xll.HUST.EmailSinhVien(Table15389[[#This Row],[StudentName]],Table15389[[#This Row],[StudentId]])</f>
        <v>Quan.VA205115@sis.hust.edu.vn</v>
      </c>
    </row>
    <row r="42" spans="1:4" x14ac:dyDescent="0.25">
      <c r="A42" s="14"/>
      <c r="B42" s="16" t="s">
        <v>195</v>
      </c>
      <c r="C42" s="17" t="s">
        <v>196</v>
      </c>
      <c r="D42" s="2" t="str" cm="1">
        <f t="array" ref="D42">_xll.HUST.EmailSinhVien(Table15389[[#This Row],[StudentName]],Table15389[[#This Row],[StudentId]])</f>
        <v>Hai.NH204963@sis.hust.edu.vn</v>
      </c>
    </row>
    <row r="43" spans="1:4" x14ac:dyDescent="0.25">
      <c r="A43" s="14"/>
      <c r="B43" s="16" t="s">
        <v>197</v>
      </c>
      <c r="C43" s="17" t="s">
        <v>198</v>
      </c>
      <c r="D43" s="2" t="str" cm="1">
        <f t="array" ref="D43">_xll.HUST.EmailSinhVien(Table15389[[#This Row],[StudentName]],Table15389[[#This Row],[StudentId]])</f>
        <v>Son.LDH205123@sis.hust.edu.vn</v>
      </c>
    </row>
    <row r="44" spans="1:4" x14ac:dyDescent="0.25">
      <c r="A44" s="14"/>
      <c r="B44" s="16" t="s">
        <v>199</v>
      </c>
      <c r="C44" s="17" t="s">
        <v>200</v>
      </c>
      <c r="D44" s="2" t="str" cm="1">
        <f t="array" ref="D44">_xll.HUST.EmailSinhVien(Table15389[[#This Row],[StudentName]],Table15389[[#This Row],[StudentId]])</f>
        <v>Hung.DV204983@sis.hust.edu.vn</v>
      </c>
    </row>
    <row r="45" spans="1:4" x14ac:dyDescent="0.25">
      <c r="A45" s="14"/>
      <c r="B45" s="16" t="s">
        <v>201</v>
      </c>
      <c r="C45" s="17" t="s">
        <v>202</v>
      </c>
      <c r="D45" s="2" t="str" cm="1">
        <f t="array" ref="D45">_xll.HUST.EmailSinhVien(Table15389[[#This Row],[StudentName]],Table15389[[#This Row],[StudentId]])</f>
        <v>Huynh.DH205087@sis.hust.edu.vn</v>
      </c>
    </row>
    <row r="46" spans="1:4" x14ac:dyDescent="0.25">
      <c r="A46" s="14"/>
      <c r="B46" s="16" t="s">
        <v>203</v>
      </c>
      <c r="C46" s="17" t="s">
        <v>204</v>
      </c>
      <c r="D46" s="2" t="str" cm="1">
        <f t="array" ref="D46">_xll.HUST.EmailSinhVien(Table15389[[#This Row],[StudentName]],Table15389[[#This Row],[StudentId]])</f>
        <v>Anh.QD200042@sis.hust.edu.vn</v>
      </c>
    </row>
    <row r="47" spans="1:4" x14ac:dyDescent="0.25">
      <c r="A47" s="14"/>
      <c r="B47" s="16" t="s">
        <v>205</v>
      </c>
      <c r="C47" s="17" t="s">
        <v>206</v>
      </c>
      <c r="D47" s="2" t="str" cm="1">
        <f t="array" ref="D47">_xll.HUST.EmailSinhVien(Table15389[[#This Row],[StudentName]],Table15389[[#This Row],[StudentId]])</f>
        <v>Huy.DTT204985@sis.hust.edu.vn</v>
      </c>
    </row>
    <row r="48" spans="1:4" x14ac:dyDescent="0.25">
      <c r="A48" s="14"/>
      <c r="B48" s="16" t="s">
        <v>207</v>
      </c>
      <c r="C48" s="17" t="s">
        <v>208</v>
      </c>
      <c r="D48" s="2" t="str" cm="1">
        <f t="array" ref="D48">_xll.HUST.EmailSinhVien(Table15389[[#This Row],[StudentName]],Table15389[[#This Row],[StudentId]])</f>
        <v>Dung.VT205074@sis.hust.edu.vn</v>
      </c>
    </row>
    <row r="49" spans="1:4" x14ac:dyDescent="0.25">
      <c r="A49" s="14"/>
      <c r="B49" s="16" t="s">
        <v>209</v>
      </c>
      <c r="C49" s="17" t="s">
        <v>210</v>
      </c>
      <c r="D49" s="2" t="str" cm="1">
        <f t="array" ref="D49">_xll.HUST.EmailSinhVien(Table15389[[#This Row],[StudentName]],Table15389[[#This Row],[StudentId]])</f>
        <v>Thinh.NHP205131@sis.hust.edu.vn</v>
      </c>
    </row>
    <row r="50" spans="1:4" x14ac:dyDescent="0.25">
      <c r="A50" s="14"/>
      <c r="B50" s="16" t="s">
        <v>211</v>
      </c>
      <c r="C50" s="17" t="s">
        <v>212</v>
      </c>
      <c r="D50" s="2" t="str" cm="1">
        <f t="array" ref="D50">_xll.HUST.EmailSinhVien(Table15389[[#This Row],[StudentName]],Table15389[[#This Row],[StudentId]])</f>
        <v>Dat.NT204947@sis.hust.edu.vn</v>
      </c>
    </row>
    <row r="51" spans="1:4" x14ac:dyDescent="0.25">
      <c r="A51" s="14"/>
      <c r="B51" s="16" t="s">
        <v>213</v>
      </c>
      <c r="C51" s="17" t="s">
        <v>214</v>
      </c>
      <c r="D51" s="2" t="str" cm="1">
        <f t="array" ref="D51">_xll.HUST.EmailSinhVien(Table15389[[#This Row],[StudentName]],Table15389[[#This Row],[StudentId]])</f>
        <v>Lam.NT204997@sis.hust.edu.vn</v>
      </c>
    </row>
    <row r="52" spans="1:4" x14ac:dyDescent="0.25">
      <c r="A52" s="14"/>
      <c r="B52" s="16" t="s">
        <v>215</v>
      </c>
      <c r="C52" s="17" t="s">
        <v>216</v>
      </c>
      <c r="D52" s="2" t="str" cm="1">
        <f t="array" ref="D52">_xll.HUST.EmailSinhVien(Table15389[[#This Row],[StudentName]],Table15389[[#This Row],[StudentId]])</f>
        <v>Duc.PM205068@sis.hust.edu.vn</v>
      </c>
    </row>
    <row r="53" spans="1:4" x14ac:dyDescent="0.25">
      <c r="A53" s="14"/>
      <c r="B53" s="16" t="s">
        <v>217</v>
      </c>
      <c r="C53" s="17" t="s">
        <v>218</v>
      </c>
      <c r="D53" s="2" t="str" cm="1">
        <f t="array" ref="D53">_xll.HUST.EmailSinhVien(Table15389[[#This Row],[StudentName]],Table15389[[#This Row],[StudentId]])</f>
        <v>Duy.NL204960@sis.hust.edu.vn</v>
      </c>
    </row>
    <row r="54" spans="1:4" x14ac:dyDescent="0.25">
      <c r="A54" s="14"/>
      <c r="B54" s="16" t="s">
        <v>219</v>
      </c>
      <c r="C54" s="17" t="s">
        <v>220</v>
      </c>
      <c r="D54" s="2" t="str" cm="1">
        <f t="array" ref="D54">_xll.HUST.EmailSinhVien(Table15389[[#This Row],[StudentName]],Table15389[[#This Row],[StudentId]])</f>
        <v>Huy.DT200269@sis.hust.edu.vn</v>
      </c>
    </row>
    <row r="55" spans="1:4" x14ac:dyDescent="0.25">
      <c r="A55" s="14"/>
      <c r="B55" s="16" t="s">
        <v>221</v>
      </c>
      <c r="C55" s="17" t="s">
        <v>222</v>
      </c>
      <c r="D55" s="2" t="str" cm="1">
        <f t="array" ref="D55">_xll.HUST.EmailSinhVien(Table15389[[#This Row],[StudentName]],Table15389[[#This Row],[StudentId]])</f>
        <v>Tuan.TM205137@sis.hust.edu.vn</v>
      </c>
    </row>
    <row r="56" spans="1:4" x14ac:dyDescent="0.25">
      <c r="A56" s="14"/>
      <c r="B56" s="16" t="s">
        <v>223</v>
      </c>
      <c r="C56" s="17" t="s">
        <v>224</v>
      </c>
      <c r="D56" s="2" t="str" cm="1">
        <f t="array" ref="D56">_xll.HUST.EmailSinhVien(Table15389[[#This Row],[StudentName]],Table15389[[#This Row],[StudentId]])</f>
        <v>Quang.PM205119@sis.hust.edu.vn</v>
      </c>
    </row>
    <row r="57" spans="1:4" x14ac:dyDescent="0.25">
      <c r="A57" s="14"/>
      <c r="B57" s="16" t="s">
        <v>225</v>
      </c>
      <c r="C57" s="17" t="s">
        <v>226</v>
      </c>
      <c r="D57" s="2" t="str" cm="1">
        <f t="array" ref="D57">_xll.HUST.EmailSinhVien(Table15389[[#This Row],[StudentName]],Table15389[[#This Row],[StudentId]])</f>
        <v>Huy.NQ204987@sis.hust.edu.vn</v>
      </c>
    </row>
    <row r="58" spans="1:4" x14ac:dyDescent="0.25">
      <c r="A58" s="14"/>
      <c r="B58" s="16" t="s">
        <v>227</v>
      </c>
      <c r="C58" s="17" t="s">
        <v>228</v>
      </c>
      <c r="D58" s="2" t="str" cm="1">
        <f t="array" ref="D58">_xll.HUST.EmailSinhVien(Table15389[[#This Row],[StudentName]],Table15389[[#This Row],[StudentId]])</f>
        <v>Quan.HD205112@sis.hust.edu.vn</v>
      </c>
    </row>
    <row r="59" spans="1:4" x14ac:dyDescent="0.25">
      <c r="A59" s="14"/>
      <c r="B59" s="16" t="s">
        <v>229</v>
      </c>
      <c r="C59" s="17" t="s">
        <v>230</v>
      </c>
      <c r="D59" s="2" t="str" cm="1">
        <f t="array" ref="D59">_xll.HUST.EmailSinhVien(Table15389[[#This Row],[StudentName]],Table15389[[#This Row],[StudentId]])</f>
        <v>Bac.VV205055@sis.hust.edu.vn</v>
      </c>
    </row>
    <row r="60" spans="1:4" x14ac:dyDescent="0.25">
      <c r="A60" s="14"/>
      <c r="B60" s="16" t="s">
        <v>231</v>
      </c>
      <c r="C60" s="17" t="s">
        <v>232</v>
      </c>
      <c r="D60" s="2" t="str" cm="1">
        <f t="array" ref="D60">_xll.HUST.EmailSinhVien(Table15389[[#This Row],[StudentName]],Table15389[[#This Row],[StudentId]])</f>
        <v>Hieu.NH204967@sis.hust.edu.vn</v>
      </c>
    </row>
    <row r="61" spans="1:4" x14ac:dyDescent="0.25">
      <c r="A61" s="14"/>
      <c r="B61" s="18" t="s">
        <v>233</v>
      </c>
      <c r="C61" s="19" t="s">
        <v>19</v>
      </c>
      <c r="D61" s="2" t="str" cm="1">
        <f t="array" ref="D61">_xll.HUST.EmailSinhVien(Table15389[[#This Row],[StudentName]],Table15389[[#This Row],[StudentId]])</f>
        <v>Hieu.PT204968@sis.hust.edu.vn</v>
      </c>
    </row>
    <row r="62" spans="1:4" x14ac:dyDescent="0.25">
      <c r="A62" s="14"/>
      <c r="B62" s="18" t="s">
        <v>234</v>
      </c>
      <c r="C62" s="19" t="s">
        <v>235</v>
      </c>
      <c r="D62" s="2" t="str" cm="1">
        <f t="array" ref="D62">_xll.HUST.EmailSinhVien(Table15389[[#This Row],[StudentName]],Table15389[[#This Row],[StudentId]])</f>
        <v>Duong.DK205075@sis.hust.edu.vn</v>
      </c>
    </row>
    <row r="63" spans="1:4" x14ac:dyDescent="0.25">
      <c r="A63" s="14"/>
      <c r="B63" s="18" t="s">
        <v>236</v>
      </c>
      <c r="C63" s="19" t="s">
        <v>237</v>
      </c>
      <c r="D63" s="2" t="str" cm="1">
        <f t="array" ref="D63">_xll.HUST.EmailSinhVien(Table15389[[#This Row],[StudentName]],Table15389[[#This Row],[StudentId]])</f>
        <v>Thanh.NT205027@sis.hust.edu.vn</v>
      </c>
    </row>
    <row r="64" spans="1:4" x14ac:dyDescent="0.25">
      <c r="A64" s="14"/>
      <c r="B64" s="18" t="s">
        <v>238</v>
      </c>
      <c r="C64" s="19" t="s">
        <v>239</v>
      </c>
      <c r="D64" s="2" t="str" cm="1">
        <f t="array" ref="D64">_xll.HUST.EmailSinhVien(Table15389[[#This Row],[StudentName]],Table15389[[#This Row],[StudentId]])</f>
        <v>Bao.NQ204943@sis.hust.edu.vn</v>
      </c>
    </row>
    <row r="65" spans="1:4" x14ac:dyDescent="0.25">
      <c r="A65" s="14"/>
      <c r="B65" s="18" t="s">
        <v>240</v>
      </c>
      <c r="C65" s="19" t="s">
        <v>241</v>
      </c>
      <c r="D65" s="2" t="str" cm="1">
        <f t="array" ref="D65">_xll.HUST.EmailSinhVien(Table15389[[#This Row],[StudentName]],Table15389[[#This Row],[StudentId]])</f>
        <v>Dat.DX205065@sis.hust.edu.vn</v>
      </c>
    </row>
    <row r="66" spans="1:4" x14ac:dyDescent="0.25">
      <c r="B66" s="18" t="s">
        <v>242</v>
      </c>
      <c r="C66" s="19" t="s">
        <v>243</v>
      </c>
      <c r="D66" s="2" t="str" cm="1">
        <f t="array" ref="D66">_xll.HUST.EmailSinhVien(Table15389[[#This Row],[StudentName]],Table15389[[#This Row],[StudentId]])</f>
        <v>Hung.BT200255@sis.hust.edu.vn</v>
      </c>
    </row>
    <row r="67" spans="1:4" x14ac:dyDescent="0.25">
      <c r="B67" s="18" t="s">
        <v>244</v>
      </c>
      <c r="C67" s="19" t="s">
        <v>245</v>
      </c>
      <c r="D67" s="2" t="str" cm="1">
        <f t="array" ref="D67">_xll.HUST.EmailSinhVien(Table15389[[#This Row],[StudentName]],Table15389[[#This Row],[StudentId]])</f>
        <v>Thao.KP205128@sis.hust.edu.vn</v>
      </c>
    </row>
    <row r="68" spans="1:4" x14ac:dyDescent="0.25">
      <c r="B68" s="18" t="s">
        <v>246</v>
      </c>
      <c r="C68" s="19" t="s">
        <v>247</v>
      </c>
      <c r="D68" s="2" t="str" cm="1">
        <f t="array" ref="D68">_xll.HUST.EmailSinhVien(Table15389[[#This Row],[StudentName]],Table15389[[#This Row],[StudentId]])</f>
        <v>Trung.KD205037@sis.hust.edu.vn</v>
      </c>
    </row>
    <row r="69" spans="1:4" x14ac:dyDescent="0.25">
      <c r="B69" s="18" t="s">
        <v>248</v>
      </c>
      <c r="C69" s="19" t="s">
        <v>249</v>
      </c>
      <c r="D69" s="2" t="str" cm="1">
        <f t="array" ref="D69">_xll.HUST.EmailSinhVien(Table15389[[#This Row],[StudentName]],Table15389[[#This Row],[StudentId]])</f>
        <v>Hien.MT200203@sis.hust.edu.vn</v>
      </c>
    </row>
    <row r="70" spans="1:4" x14ac:dyDescent="0.25">
      <c r="B70" s="18" t="s">
        <v>250</v>
      </c>
      <c r="C70" s="19" t="s">
        <v>251</v>
      </c>
      <c r="D70" s="2" t="str" cm="1">
        <f t="array" ref="D70">_xll.HUST.EmailSinhVien(Table15389[[#This Row],[StudentName]],Table15389[[#This Row],[StudentId]])</f>
        <v>Phi.KH205012@sis.hust.edu.vn</v>
      </c>
    </row>
    <row r="71" spans="1:4" x14ac:dyDescent="0.25">
      <c r="B71" s="18" t="s">
        <v>252</v>
      </c>
      <c r="C71" s="19" t="s">
        <v>253</v>
      </c>
      <c r="D71" s="2" t="str" cm="1">
        <f t="array" ref="D71">_xll.HUST.EmailSinhVien(Table15389[[#This Row],[StudentName]],Table15389[[#This Row],[StudentId]])</f>
        <v>Dong.TV204949@sis.hust.edu.vn</v>
      </c>
    </row>
    <row r="72" spans="1:4" x14ac:dyDescent="0.25">
      <c r="B72" s="18" t="s">
        <v>254</v>
      </c>
      <c r="C72" s="19" t="s">
        <v>23</v>
      </c>
      <c r="D72" s="2" t="str" cm="1">
        <f t="array" ref="D72">_xll.HUST.EmailSinhVien(Table15389[[#This Row],[StudentName]],Table15389[[#This Row],[StudentId]])</f>
        <v>Khanh.ND204992@sis.hust.edu.vn</v>
      </c>
    </row>
    <row r="73" spans="1:4" x14ac:dyDescent="0.25">
      <c r="B73" s="18" t="s">
        <v>255</v>
      </c>
      <c r="C73" s="19" t="s">
        <v>256</v>
      </c>
      <c r="D73" s="2" t="str" cm="1">
        <f t="array" ref="D73">_xll.HUST.EmailSinhVien(Table15389[[#This Row],[StudentName]],Table15389[[#This Row],[StudentId]])</f>
        <v>Hop.VT204982@sis.hust.edu.vn</v>
      </c>
    </row>
    <row r="74" spans="1:4" x14ac:dyDescent="0.25">
      <c r="B74" s="18" t="s">
        <v>257</v>
      </c>
      <c r="C74" s="19" t="s">
        <v>20</v>
      </c>
      <c r="D74" s="2" t="str" cm="1">
        <f t="array" ref="D74">_xll.HUST.EmailSinhVien(Table15389[[#This Row],[StudentName]],Table15389[[#This Row],[StudentId]])</f>
        <v>Hieu.TT204971@sis.hust.edu.vn</v>
      </c>
    </row>
    <row r="75" spans="1:4" x14ac:dyDescent="0.25">
      <c r="B75" s="18" t="s">
        <v>258</v>
      </c>
      <c r="C75" s="19" t="s">
        <v>259</v>
      </c>
      <c r="D75" s="2" t="str" cm="1">
        <f t="array" ref="D75">_xll.HUST.EmailSinhVien(Table15389[[#This Row],[StudentName]],Table15389[[#This Row],[StudentId]])</f>
        <v>Hoang.LV205082@sis.hust.edu.vn</v>
      </c>
    </row>
    <row r="76" spans="1:4" x14ac:dyDescent="0.25">
      <c r="B76" s="18" t="s">
        <v>260</v>
      </c>
      <c r="C76" s="19" t="s">
        <v>261</v>
      </c>
      <c r="D76" s="2" t="str" cm="1">
        <f t="array" ref="D76">_xll.HUST.EmailSinhVien(Table15389[[#This Row],[StudentName]],Table15389[[#This Row],[StudentId]])</f>
        <v>Tung.LT200572@sis.hust.edu.vn</v>
      </c>
    </row>
    <row r="77" spans="1:4" x14ac:dyDescent="0.25">
      <c r="B77" s="18" t="s">
        <v>262</v>
      </c>
      <c r="C77" s="19" t="s">
        <v>263</v>
      </c>
      <c r="D77" s="2" t="str" cm="1">
        <f t="array" ref="D77">_xll.HUST.EmailSinhVien(Table15389[[#This Row],[StudentName]],Table15389[[#This Row],[StudentId]])</f>
        <v>Khoa.NSA205088@sis.hust.edu.vn</v>
      </c>
    </row>
    <row r="78" spans="1:4" x14ac:dyDescent="0.25">
      <c r="B78" s="18" t="s">
        <v>264</v>
      </c>
      <c r="C78" s="19" t="s">
        <v>265</v>
      </c>
      <c r="D78" s="2" t="str" cm="1">
        <f t="array" ref="D78">_xll.HUST.EmailSinhVien(Table15389[[#This Row],[StudentName]],Table15389[[#This Row],[StudentId]])</f>
        <v>Anh.NVT205053@sis.hust.edu.vn</v>
      </c>
    </row>
    <row r="79" spans="1:4" x14ac:dyDescent="0.25">
      <c r="B79" s="18" t="s">
        <v>266</v>
      </c>
      <c r="C79" s="19" t="s">
        <v>267</v>
      </c>
      <c r="D79" s="2" t="str" cm="1">
        <f t="array" ref="D79">_xll.HUST.EmailSinhVien(Table15389[[#This Row],[StudentName]],Table15389[[#This Row],[StudentId]])</f>
        <v>Tuong.MV205138@sis.hust.edu.vn</v>
      </c>
    </row>
    <row r="80" spans="1:4" x14ac:dyDescent="0.25">
      <c r="B80" s="18" t="s">
        <v>268</v>
      </c>
      <c r="C80" s="19" t="s">
        <v>269</v>
      </c>
      <c r="D80" s="2" t="str" cm="1">
        <f t="array" ref="D80">_xll.HUST.EmailSinhVien(Table15389[[#This Row],[StudentName]],Table15389[[#This Row],[StudentId]])</f>
        <v>Dung.LD204955@sis.hust.edu.vn</v>
      </c>
    </row>
    <row r="81" spans="2:4" x14ac:dyDescent="0.25">
      <c r="B81" s="18" t="s">
        <v>270</v>
      </c>
      <c r="C81" s="19" t="s">
        <v>271</v>
      </c>
      <c r="D81" s="2" t="str" cm="1">
        <f t="array" ref="D81">_xll.HUST.EmailSinhVien(Table15389[[#This Row],[StudentName]],Table15389[[#This Row],[StudentId]])</f>
        <v>Tu.MA205038@sis.hust.edu.vn</v>
      </c>
    </row>
    <row r="82" spans="2:4" x14ac:dyDescent="0.25">
      <c r="B82" s="18" t="s">
        <v>272</v>
      </c>
      <c r="C82" s="19" t="s">
        <v>273</v>
      </c>
      <c r="D82" s="2" t="str" cm="1">
        <f t="array" ref="D82">_xll.HUST.EmailSinhVien(Table15389[[#This Row],[StudentName]],Table15389[[#This Row],[StudentId]])</f>
        <v>Linh.NTD205094@sis.hust.edu.vn</v>
      </c>
    </row>
    <row r="83" spans="2:4" x14ac:dyDescent="0.25">
      <c r="B83" s="18" t="s">
        <v>274</v>
      </c>
      <c r="C83" s="19" t="s">
        <v>275</v>
      </c>
      <c r="D83" s="2" t="str" cm="1">
        <f t="array" ref="D83">_xll.HUST.EmailSinhVien(Table15389[[#This Row],[StudentName]],Table15389[[#This Row],[StudentId]])</f>
        <v>Khai.NH200310@sis.hust.edu.vn</v>
      </c>
    </row>
    <row r="84" spans="2:4" x14ac:dyDescent="0.25">
      <c r="B84" s="18" t="s">
        <v>276</v>
      </c>
      <c r="C84" s="19" t="s">
        <v>277</v>
      </c>
      <c r="D84" s="2" t="str" cm="1">
        <f t="array" ref="D84">_xll.HUST.EmailSinhVien(Table15389[[#This Row],[StudentName]],Table15389[[#This Row],[StudentId]])</f>
        <v>Trinh.HY205036@sis.hust.edu.vn</v>
      </c>
    </row>
    <row r="85" spans="2:4" x14ac:dyDescent="0.25">
      <c r="B85" s="18" t="s">
        <v>278</v>
      </c>
      <c r="C85" s="19" t="s">
        <v>279</v>
      </c>
      <c r="D85" s="2" t="str" cm="1">
        <f t="array" ref="D85">_xll.HUST.EmailSinhVien(Table15389[[#This Row],[StudentName]],Table15389[[#This Row],[StudentId]])</f>
        <v>Tung.BD200568@sis.hust.edu.vn</v>
      </c>
    </row>
    <row r="86" spans="2:4" x14ac:dyDescent="0.25">
      <c r="B86" s="18" t="s">
        <v>280</v>
      </c>
      <c r="C86" s="19" t="s">
        <v>281</v>
      </c>
      <c r="D86" s="2" t="str" cm="1">
        <f t="array" ref="D86">_xll.HUST.EmailSinhVien(Table15389[[#This Row],[StudentName]],Table15389[[#This Row],[StudentId]])</f>
        <v>Quang.TM205120@sis.hust.edu.vn</v>
      </c>
    </row>
    <row r="87" spans="2:4" x14ac:dyDescent="0.25">
      <c r="B87" s="18" t="s">
        <v>282</v>
      </c>
      <c r="C87" s="19" t="s">
        <v>283</v>
      </c>
      <c r="D87" s="2" t="str" cm="1">
        <f t="array" ref="D87">_xll.HUST.EmailSinhVien(Table15389[[#This Row],[StudentName]],Table15389[[#This Row],[StudentId]])</f>
        <v>Nhat.PQ205111@sis.hust.edu.vn</v>
      </c>
    </row>
    <row r="88" spans="2:4" x14ac:dyDescent="0.25">
      <c r="B88" s="18" t="s">
        <v>284</v>
      </c>
      <c r="C88" s="19" t="s">
        <v>285</v>
      </c>
      <c r="D88" s="2" t="str" cm="1">
        <f t="array" ref="D88">_xll.HUST.EmailSinhVien(Table15389[[#This Row],[StudentName]],Table15389[[#This Row],[StudentId]])</f>
        <v>Long.VD205098@sis.hust.edu.vn</v>
      </c>
    </row>
    <row r="89" spans="2:4" x14ac:dyDescent="0.25">
      <c r="B89" s="18" t="s">
        <v>286</v>
      </c>
      <c r="C89" s="19" t="s">
        <v>287</v>
      </c>
      <c r="D89" s="2" t="str" cm="1">
        <f t="array" ref="D89">_xll.HUST.EmailSinhVien(Table15389[[#This Row],[StudentName]],Table15389[[#This Row],[StudentId]])</f>
        <v>Duy.NQ204961@sis.hust.edu.vn</v>
      </c>
    </row>
    <row r="90" spans="2:4" x14ac:dyDescent="0.25">
      <c r="B90" s="18" t="s">
        <v>288</v>
      </c>
      <c r="C90" s="19" t="s">
        <v>289</v>
      </c>
      <c r="D90" s="2" t="str" cm="1">
        <f t="array" ref="D90">_xll.HUST.EmailSinhVien(Table15389[[#This Row],[StudentName]],Table15389[[#This Row],[StudentId]])</f>
        <v>Huy.DQ205083@sis.hust.edu.vn</v>
      </c>
    </row>
    <row r="91" spans="2:4" x14ac:dyDescent="0.25">
      <c r="B91" s="18" t="s">
        <v>290</v>
      </c>
      <c r="C91" s="19" t="s">
        <v>291</v>
      </c>
      <c r="D91" s="2" t="str" cm="1">
        <f t="array" ref="D91">_xll.HUST.EmailSinhVien(Table15389[[#This Row],[StudentName]],Table15389[[#This Row],[StudentId]])</f>
        <v>Dung.NN204956@sis.hust.edu.vn</v>
      </c>
    </row>
    <row r="92" spans="2:4" x14ac:dyDescent="0.25">
      <c r="B92" s="18" t="s">
        <v>292</v>
      </c>
      <c r="C92" s="19" t="s">
        <v>293</v>
      </c>
      <c r="D92" s="2" t="str" cm="1">
        <f t="array" ref="D92">_xll.HUST.EmailSinhVien(Table15389[[#This Row],[StudentName]],Table15389[[#This Row],[StudentId]])</f>
        <v>Hiep.LH205079@sis.hust.edu.vn</v>
      </c>
    </row>
    <row r="93" spans="2:4" x14ac:dyDescent="0.25">
      <c r="B93" s="18" t="s">
        <v>294</v>
      </c>
      <c r="C93" s="19" t="s">
        <v>295</v>
      </c>
      <c r="D93" s="2" t="str" cm="1">
        <f t="array" ref="D93">_xll.HUST.EmailSinhVien(Table15389[[#This Row],[StudentName]],Table15389[[#This Row],[StudentId]])</f>
        <v>Thanh.DC205025@sis.hust.edu.vn</v>
      </c>
    </row>
    <row r="94" spans="2:4" x14ac:dyDescent="0.25">
      <c r="B94" s="18" t="s">
        <v>296</v>
      </c>
      <c r="C94" s="19" t="s">
        <v>297</v>
      </c>
      <c r="D94" s="2" t="str" cm="1">
        <f t="array" ref="D94">_xll.HUST.EmailSinhVien(Table15389[[#This Row],[StudentName]],Table15389[[#This Row],[StudentId]])</f>
        <v>Truong.NQ200653@sis.hust.edu.vn</v>
      </c>
    </row>
    <row r="95" spans="2:4" x14ac:dyDescent="0.25">
      <c r="B95" s="18" t="s">
        <v>298</v>
      </c>
      <c r="C95" s="19" t="s">
        <v>299</v>
      </c>
      <c r="D95" s="2" t="str" cm="1">
        <f t="array" ref="D95">_xll.HUST.EmailSinhVien(Table15389[[#This Row],[StudentName]],Table15389[[#This Row],[StudentId]])</f>
        <v>Yen.PTH200680@sis.hust.edu.vn</v>
      </c>
    </row>
    <row r="96" spans="2:4" x14ac:dyDescent="0.25">
      <c r="B96" s="18" t="s">
        <v>300</v>
      </c>
      <c r="C96" s="19" t="s">
        <v>301</v>
      </c>
      <c r="D96" s="2" t="str" cm="1">
        <f t="array" ref="D96">_xll.HUST.EmailSinhVien(Table15389[[#This Row],[StudentName]],Table15389[[#This Row],[StudentId]])</f>
        <v>Minh.NL205002@sis.hust.edu.vn</v>
      </c>
    </row>
    <row r="97" spans="2:4" x14ac:dyDescent="0.25">
      <c r="B97" s="18" t="s">
        <v>302</v>
      </c>
      <c r="C97" s="19" t="s">
        <v>28</v>
      </c>
      <c r="D97" s="2" t="str" cm="1">
        <f t="array" ref="D97">_xll.HUST.EmailSinhVien(Table15389[[#This Row],[StudentName]],Table15389[[#This Row],[StudentId]])</f>
        <v>Hieu.TV200231@sis.hust.edu.vn</v>
      </c>
    </row>
    <row r="98" spans="2:4" x14ac:dyDescent="0.25">
      <c r="B98" s="18" t="s">
        <v>303</v>
      </c>
      <c r="C98" s="19" t="s">
        <v>108</v>
      </c>
      <c r="D98" s="2" t="str" cm="1">
        <f t="array" ref="D98">_xll.HUST.EmailSinhVien(Table15389[[#This Row],[StudentName]],Table15389[[#This Row],[StudentId]])</f>
        <v>Tuan.LA205136@sis.hust.edu.vn</v>
      </c>
    </row>
    <row r="99" spans="2:4" x14ac:dyDescent="0.25">
      <c r="B99" s="18" t="s">
        <v>304</v>
      </c>
      <c r="C99" s="19" t="s">
        <v>305</v>
      </c>
      <c r="D99" s="2" t="str" cm="1">
        <f t="array" ref="D99">_xll.HUST.EmailSinhVien(Table15389[[#This Row],[StudentName]],Table15389[[#This Row],[StudentId]])</f>
        <v>Hoang.NH204979@sis.hust.edu.vn</v>
      </c>
    </row>
    <row r="100" spans="2:4" x14ac:dyDescent="0.25">
      <c r="B100" s="18" t="s">
        <v>306</v>
      </c>
      <c r="C100" s="19" t="s">
        <v>307</v>
      </c>
      <c r="D100" s="2" t="str" cm="1">
        <f t="array" ref="D100">_xll.HUST.EmailSinhVien(Table15389[[#This Row],[StudentName]],Table15389[[#This Row],[StudentId]])</f>
        <v>Thong.PM205029@sis.hust.edu.vn</v>
      </c>
    </row>
    <row r="101" spans="2:4" x14ac:dyDescent="0.25">
      <c r="B101" s="18" t="s">
        <v>308</v>
      </c>
      <c r="C101" s="19" t="s">
        <v>309</v>
      </c>
      <c r="D101" s="2" t="str" cm="1">
        <f t="array" ref="D101">_xll.HUST.EmailSinhVien(Table15389[[#This Row],[StudentName]],Table15389[[#This Row],[StudentId]])</f>
        <v>Minh.TQ205102@sis.hust.edu.vn</v>
      </c>
    </row>
    <row r="102" spans="2:4" x14ac:dyDescent="0.25">
      <c r="B102" s="18" t="s">
        <v>310</v>
      </c>
      <c r="C102" s="19" t="s">
        <v>311</v>
      </c>
      <c r="D102" s="2" t="str" cm="1">
        <f t="array" ref="D102">_xll.HUST.EmailSinhVien(Table15389[[#This Row],[StudentName]],Table15389[[#This Row],[StudentId]])</f>
        <v>Hoang.CM204975@sis.hust.edu.vn</v>
      </c>
    </row>
    <row r="103" spans="2:4" x14ac:dyDescent="0.25">
      <c r="B103" s="18" t="s">
        <v>312</v>
      </c>
      <c r="C103" s="19" t="s">
        <v>313</v>
      </c>
      <c r="D103" s="2" t="str" cm="1">
        <f t="array" ref="D103">_xll.HUST.EmailSinhVien(Table15389[[#This Row],[StudentName]],Table15389[[#This Row],[StudentId]])</f>
        <v>Anh.LT205051@sis.hust.edu.vn</v>
      </c>
    </row>
    <row r="104" spans="2:4" x14ac:dyDescent="0.25">
      <c r="B104" s="18" t="s">
        <v>314</v>
      </c>
      <c r="C104" s="19" t="s">
        <v>315</v>
      </c>
      <c r="D104" s="2" t="str" cm="1">
        <f t="array" ref="D104">_xll.HUST.EmailSinhVien(Table15389[[#This Row],[StudentName]],Table15389[[#This Row],[StudentId]])</f>
        <v>Tung.NS205044@sis.hust.edu.vn</v>
      </c>
    </row>
    <row r="105" spans="2:4" x14ac:dyDescent="0.25">
      <c r="B105" s="18" t="s">
        <v>316</v>
      </c>
      <c r="C105" s="19" t="s">
        <v>317</v>
      </c>
      <c r="D105" s="2" t="str" cm="1">
        <f t="array" ref="D105">_xll.HUST.EmailSinhVien(Table15389[[#This Row],[StudentName]],Table15389[[#This Row],[StudentId]])</f>
        <v>Tien.NH205033@sis.hust.edu.vn</v>
      </c>
    </row>
    <row r="106" spans="2:4" x14ac:dyDescent="0.25">
      <c r="B106" s="18" t="s">
        <v>318</v>
      </c>
      <c r="C106" s="19" t="s">
        <v>319</v>
      </c>
      <c r="D106" s="2" t="str" cm="1">
        <f t="array" ref="D106">_xll.HUST.EmailSinhVien(Table15389[[#This Row],[StudentName]],Table15389[[#This Row],[StudentId]])</f>
        <v>Anh.NV200021@sis.hust.edu.vn</v>
      </c>
    </row>
    <row r="107" spans="2:4" x14ac:dyDescent="0.25">
      <c r="B107" s="18" t="s">
        <v>320</v>
      </c>
      <c r="C107" s="19" t="s">
        <v>321</v>
      </c>
      <c r="D107" s="2" t="str" cm="1">
        <f t="array" ref="D107">_xll.HUST.EmailSinhVien(Table15389[[#This Row],[StudentName]],Table15389[[#This Row],[StudentId]])</f>
        <v>Linh.NH205000@sis.hust.edu.vn</v>
      </c>
    </row>
    <row r="108" spans="2:4" x14ac:dyDescent="0.25">
      <c r="B108" s="18" t="s">
        <v>322</v>
      </c>
      <c r="C108" s="19" t="s">
        <v>323</v>
      </c>
      <c r="D108" s="2" t="str" cm="1">
        <f t="array" ref="D108">_xll.HUST.EmailSinhVien(Table15389[[#This Row],[StudentName]],Table15389[[#This Row],[StudentId]])</f>
        <v>Thanh.NV194679@sis.hust.edu.vn</v>
      </c>
    </row>
    <row r="109" spans="2:4" x14ac:dyDescent="0.25">
      <c r="B109" s="18" t="s">
        <v>324</v>
      </c>
      <c r="C109" s="19" t="s">
        <v>325</v>
      </c>
      <c r="D109" s="2" t="str" cm="1">
        <f t="array" ref="D109">_xll.HUST.EmailSinhVien(Table15389[[#This Row],[StudentName]],Table15389[[#This Row],[StudentId]])</f>
        <v>Quan.LM205014@sis.hust.edu.vn</v>
      </c>
    </row>
    <row r="110" spans="2:4" x14ac:dyDescent="0.25">
      <c r="B110" s="18" t="s">
        <v>326</v>
      </c>
      <c r="C110" s="19" t="s">
        <v>327</v>
      </c>
      <c r="D110" s="2" t="str" cm="1">
        <f t="array" ref="D110">_xll.HUST.EmailSinhVien(Table15389[[#This Row],[StudentName]],Table15389[[#This Row],[StudentId]])</f>
        <v>Quynh.TTN205122@sis.hust.edu.vn</v>
      </c>
    </row>
    <row r="111" spans="2:4" x14ac:dyDescent="0.25">
      <c r="B111" s="18" t="s">
        <v>328</v>
      </c>
      <c r="C111" s="19" t="s">
        <v>329</v>
      </c>
      <c r="D111" s="2" t="str" cm="1">
        <f t="array" ref="D111">_xll.HUST.EmailSinhVien(Table15389[[#This Row],[StudentName]],Table15389[[#This Row],[StudentId]])</f>
        <v>Hoang.PV208000@sis.hust.edu.vn</v>
      </c>
    </row>
    <row r="112" spans="2:4" x14ac:dyDescent="0.25">
      <c r="B112" s="18" t="s">
        <v>330</v>
      </c>
      <c r="C112" s="19" t="s">
        <v>331</v>
      </c>
      <c r="D112" s="2" t="str" cm="1">
        <f t="array" ref="D112">_xll.HUST.EmailSinhVien(Table15389[[#This Row],[StudentName]],Table15389[[#This Row],[StudentId]])</f>
        <v>Thanh.DD200586@sis.hust.edu.vn</v>
      </c>
    </row>
    <row r="113" spans="2:4" x14ac:dyDescent="0.25">
      <c r="B113" s="18" t="s">
        <v>332</v>
      </c>
      <c r="C113" s="19" t="s">
        <v>333</v>
      </c>
      <c r="D113" s="2" t="str" cm="1">
        <f t="array" ref="D113">_xll.HUST.EmailSinhVien(Table15389[[#This Row],[StudentName]],Table15389[[#This Row],[StudentId]])</f>
        <v>Quang.DV205016@sis.hust.edu.vn</v>
      </c>
    </row>
    <row r="114" spans="2:4" x14ac:dyDescent="0.25">
      <c r="B114" s="18" t="s">
        <v>334</v>
      </c>
      <c r="C114" s="19" t="s">
        <v>335</v>
      </c>
      <c r="D114" s="2" t="str" cm="1">
        <f t="array" ref="D114">_xll.HUST.EmailSinhVien(Table15389[[#This Row],[StudentName]],Table15389[[#This Row],[StudentId]])</f>
        <v>Nam.NH205104@sis.hust.edu.vn</v>
      </c>
    </row>
    <row r="115" spans="2:4" x14ac:dyDescent="0.25">
      <c r="B115" s="18" t="s">
        <v>336</v>
      </c>
      <c r="C115" s="19" t="s">
        <v>337</v>
      </c>
      <c r="D115" s="2" t="str" cm="1">
        <f t="array" ref="D115">_xll.HUST.EmailSinhVien(Table15389[[#This Row],[StudentName]],Table15389[[#This Row],[StudentId]])</f>
        <v>Phuong.NH176847@sis.hust.edu.vn</v>
      </c>
    </row>
    <row r="116" spans="2:4" x14ac:dyDescent="0.25">
      <c r="B116" s="18" t="s">
        <v>338</v>
      </c>
      <c r="C116" s="19" t="s">
        <v>339</v>
      </c>
      <c r="D116" s="2" t="str" cm="1">
        <f t="array" ref="D116">_xll.HUST.EmailSinhVien(Table15389[[#This Row],[StudentName]],Table15389[[#This Row],[StudentId]])</f>
        <v>Thang.PD205024@sis.hust.edu.vn</v>
      </c>
    </row>
    <row r="117" spans="2:4" x14ac:dyDescent="0.25">
      <c r="B117" s="18" t="s">
        <v>340</v>
      </c>
      <c r="C117" s="19" t="s">
        <v>341</v>
      </c>
      <c r="D117" s="2" t="str" cm="1">
        <f t="array" ref="D117">_xll.HUST.EmailSinhVien(Table15389[[#This Row],[StudentName]],Table15389[[#This Row],[StudentId]])</f>
        <v>Lam.LT204996@sis.hust.edu.vn</v>
      </c>
    </row>
    <row r="118" spans="2:4" x14ac:dyDescent="0.25">
      <c r="B118" s="18" t="s">
        <v>342</v>
      </c>
      <c r="C118" s="19" t="s">
        <v>343</v>
      </c>
      <c r="D118" s="2" t="str" cm="1">
        <f t="array" ref="D118">_xll.HUST.EmailSinhVien(Table15389[[#This Row],[StudentName]],Table15389[[#This Row],[StudentId]])</f>
        <v>Dat.DT204946@sis.hust.edu.vn</v>
      </c>
    </row>
    <row r="119" spans="2:4" x14ac:dyDescent="0.25">
      <c r="B119" s="18" t="s">
        <v>344</v>
      </c>
      <c r="C119" s="19" t="s">
        <v>345</v>
      </c>
      <c r="D119" s="2" t="str" cm="1">
        <f t="array" ref="D119">_xll.HUST.EmailSinhVien(Table15389[[#This Row],[StudentName]],Table15389[[#This Row],[StudentId]])</f>
        <v>Manh.NDD184148@sis.hust.edu.vn</v>
      </c>
    </row>
    <row r="120" spans="2:4" x14ac:dyDescent="0.25">
      <c r="B120" s="18" t="s">
        <v>346</v>
      </c>
      <c r="C120" s="19" t="s">
        <v>347</v>
      </c>
      <c r="D120" s="2" t="str" cm="1">
        <f t="array" ref="D120">_xll.HUST.EmailSinhVien(Table15389[[#This Row],[StudentName]],Table15389[[#This Row],[StudentId]])</f>
        <v>Tuan.ND200560@sis.hust.edu.vn</v>
      </c>
    </row>
    <row r="121" spans="2:4" x14ac:dyDescent="0.25">
      <c r="B121" s="18" t="s">
        <v>348</v>
      </c>
      <c r="C121" s="19" t="s">
        <v>349</v>
      </c>
      <c r="D121" s="2" t="str" cm="1">
        <f t="array" ref="D121">_xll.HUST.EmailSinhVien(Table15389[[#This Row],[StudentName]],Table15389[[#This Row],[StudentId]])</f>
        <v>Quang.TLH205017@sis.hust.edu.vn</v>
      </c>
    </row>
    <row r="122" spans="2:4" x14ac:dyDescent="0.25">
      <c r="B122" s="18" t="s">
        <v>350</v>
      </c>
      <c r="C122" s="19" t="s">
        <v>124</v>
      </c>
      <c r="D122" s="2" t="str" cm="1">
        <f t="array" ref="D122">_xll.HUST.EmailSinhVien(Table15389[[#This Row],[StudentName]],Table15389[[#This Row],[StudentId]])</f>
        <v>Kien.NT205090@sis.hust.edu.vn</v>
      </c>
    </row>
    <row r="123" spans="2:4" x14ac:dyDescent="0.25">
      <c r="B123" s="18" t="s">
        <v>351</v>
      </c>
      <c r="C123" s="19" t="s">
        <v>335</v>
      </c>
      <c r="D123" s="2" t="str" cm="1">
        <f t="array" ref="D123">_xll.HUST.EmailSinhVien(Table15389[[#This Row],[StudentName]],Table15389[[#This Row],[StudentId]])</f>
        <v>Nam.NH205005@sis.hust.edu.vn</v>
      </c>
    </row>
    <row r="124" spans="2:4" x14ac:dyDescent="0.25">
      <c r="B124" s="18" t="s">
        <v>352</v>
      </c>
      <c r="C124" s="19" t="s">
        <v>353</v>
      </c>
      <c r="D124" s="2" t="str" cm="1">
        <f t="array" ref="D124">_xll.HUST.EmailSinhVien(Table15389[[#This Row],[StudentName]],Table15389[[#This Row],[StudentId]])</f>
        <v>Nguyet.LT205109@sis.hust.edu.vn</v>
      </c>
    </row>
    <row r="125" spans="2:4" x14ac:dyDescent="0.25">
      <c r="B125" s="18" t="s">
        <v>354</v>
      </c>
      <c r="C125" s="19" t="s">
        <v>355</v>
      </c>
      <c r="D125" s="2" t="str" cm="1">
        <f t="array" ref="D125">_xll.HUST.EmailSinhVien(Table15389[[#This Row],[StudentName]],Table15389[[#This Row],[StudentId]])</f>
        <v>Cong.NT205060@sis.hust.edu.vn</v>
      </c>
    </row>
    <row r="126" spans="2:4" x14ac:dyDescent="0.25">
      <c r="B126" s="18" t="s">
        <v>356</v>
      </c>
      <c r="C126" s="19" t="s">
        <v>21</v>
      </c>
      <c r="D126" s="2" t="str" cm="1">
        <f t="array" ref="D126">_xll.HUST.EmailSinhVien(Table15389[[#This Row],[StudentName]],Table15389[[#This Row],[StudentId]])</f>
        <v>Hoang.NB204976@sis.hust.edu.vn</v>
      </c>
    </row>
    <row r="132" spans="3:3" x14ac:dyDescent="0.25">
      <c r="C132" s="7"/>
    </row>
    <row r="133" spans="3:3" x14ac:dyDescent="0.25">
      <c r="C133" s="7"/>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0091A-C319-4C86-B768-DC395B9B6AFB}">
  <sheetPr codeName="Sheet1"/>
  <dimension ref="A1:B126"/>
  <sheetViews>
    <sheetView workbookViewId="0">
      <selection activeCell="B22" sqref="B22"/>
    </sheetView>
  </sheetViews>
  <sheetFormatPr defaultRowHeight="15" x14ac:dyDescent="0.25"/>
  <cols>
    <col min="1" max="1" width="22.140625" bestFit="1" customWidth="1"/>
    <col min="2" max="2" width="8.5703125" customWidth="1"/>
  </cols>
  <sheetData>
    <row r="1" spans="1:2" x14ac:dyDescent="0.25">
      <c r="A1" s="6" t="s">
        <v>0</v>
      </c>
      <c r="B1" t="s">
        <v>1</v>
      </c>
    </row>
    <row r="2" spans="1:2" x14ac:dyDescent="0.25">
      <c r="A2" s="17" t="s">
        <v>31</v>
      </c>
      <c r="B2" s="2" t="e">
        <f>IF(AND(NOT(ISBLANK(Table15389[[#This Row],[StudentName]])), NOT(ISBLANK(Table15389[[#This Row],[StudentId]]))),#REF!&amp;"."&amp;LOWER(#REF!)&amp;RIGHT(Table15389[[#This Row],[StudentId]],6) &amp; "@sis.hust.edu.vn","")</f>
        <v>#REF!</v>
      </c>
    </row>
    <row r="3" spans="1:2" x14ac:dyDescent="0.25">
      <c r="A3" s="17" t="s">
        <v>32</v>
      </c>
      <c r="B3" s="2" t="e">
        <f>IF(AND(NOT(ISBLANK(Table15389[[#This Row],[StudentName]])), NOT(ISBLANK(Table15389[[#This Row],[StudentId]]))),#REF!&amp;"."&amp;LOWER(#REF!)&amp;RIGHT(Table15389[[#This Row],[StudentId]],6) &amp; "@sis.hust.edu.vn","")</f>
        <v>#REF!</v>
      </c>
    </row>
    <row r="4" spans="1:2" x14ac:dyDescent="0.25">
      <c r="A4" s="17" t="s">
        <v>33</v>
      </c>
      <c r="B4" s="2" t="e">
        <f>IF(AND(NOT(ISBLANK(Table15389[[#This Row],[StudentName]])), NOT(ISBLANK(Table15389[[#This Row],[StudentId]]))),#REF!&amp;"."&amp;LOWER(#REF!)&amp;RIGHT(Table15389[[#This Row],[StudentId]],6) &amp; "@sis.hust.edu.vn","")</f>
        <v>#REF!</v>
      </c>
    </row>
    <row r="5" spans="1:2" x14ac:dyDescent="0.25">
      <c r="A5" s="17" t="s">
        <v>34</v>
      </c>
      <c r="B5" s="2" t="e">
        <f>IF(AND(NOT(ISBLANK(Table15389[[#This Row],[StudentName]])), NOT(ISBLANK(Table15389[[#This Row],[StudentId]]))),#REF!&amp;"."&amp;LOWER(#REF!)&amp;RIGHT(Table15389[[#This Row],[StudentId]],6) &amp; "@sis.hust.edu.vn","")</f>
        <v>#REF!</v>
      </c>
    </row>
    <row r="6" spans="1:2" x14ac:dyDescent="0.25">
      <c r="A6" s="17" t="s">
        <v>10</v>
      </c>
      <c r="B6" s="13" t="e">
        <f>#REF!*0.3+#REF!*0.7</f>
        <v>#REF!</v>
      </c>
    </row>
    <row r="7" spans="1:2" x14ac:dyDescent="0.25">
      <c r="A7" s="17" t="s">
        <v>35</v>
      </c>
      <c r="B7" s="31" t="e">
        <f>#REF!*0.3+#REF!*0.7</f>
        <v>#REF!</v>
      </c>
    </row>
    <row r="8" spans="1:2" x14ac:dyDescent="0.25">
      <c r="A8" s="17" t="s">
        <v>36</v>
      </c>
      <c r="B8" s="13" t="e">
        <f>#REF!*0.3+#REF!*0.7</f>
        <v>#REF!</v>
      </c>
    </row>
    <row r="9" spans="1:2" x14ac:dyDescent="0.25">
      <c r="A9" s="17" t="s">
        <v>37</v>
      </c>
      <c r="B9" s="31" t="e">
        <f>#REF!*0.3+#REF!*0.7</f>
        <v>#REF!</v>
      </c>
    </row>
    <row r="10" spans="1:2" x14ac:dyDescent="0.25">
      <c r="A10" s="17" t="s">
        <v>38</v>
      </c>
      <c r="B10" s="13" t="e">
        <f>#REF!*0.3+#REF!*0.7</f>
        <v>#REF!</v>
      </c>
    </row>
    <row r="11" spans="1:2" x14ac:dyDescent="0.25">
      <c r="A11" s="17" t="s">
        <v>39</v>
      </c>
      <c r="B11" s="31" t="e">
        <f>#REF!*0.3+#REF!*0.7</f>
        <v>#REF!</v>
      </c>
    </row>
    <row r="12" spans="1:2" x14ac:dyDescent="0.25">
      <c r="A12" s="17" t="s">
        <v>12</v>
      </c>
      <c r="B12" s="13" t="e">
        <f>#REF!*0.3+#REF!*0.7</f>
        <v>#REF!</v>
      </c>
    </row>
    <row r="13" spans="1:2" x14ac:dyDescent="0.25">
      <c r="A13" s="17" t="s">
        <v>40</v>
      </c>
      <c r="B13" s="31" t="e">
        <f>#REF!*0.3+#REF!*0.7</f>
        <v>#REF!</v>
      </c>
    </row>
    <row r="14" spans="1:2" x14ac:dyDescent="0.25">
      <c r="A14" s="17" t="s">
        <v>41</v>
      </c>
      <c r="B14" s="4" t="e">
        <f>IF(AND(NOT(ISBLANK(Table15389[[#This Row],[StudentName]])), NOT(ISBLANK(Table15389[[#This Row],[StudentId]]))),#REF!&amp;"."&amp;LOWER(#REF!)&amp;RIGHT(Table15389[[#This Row],[StudentId]],6) &amp; "@sis.hust.edu.vn","")</f>
        <v>#REF!</v>
      </c>
    </row>
    <row r="15" spans="1:2" x14ac:dyDescent="0.25">
      <c r="A15" s="17" t="s">
        <v>42</v>
      </c>
      <c r="B15" s="4" t="e">
        <f>IF(AND(NOT(ISBLANK(Table15389[[#This Row],[StudentName]])), NOT(ISBLANK(Table15389[[#This Row],[StudentId]]))),#REF!&amp;"."&amp;LOWER(#REF!)&amp;RIGHT(Table15389[[#This Row],[StudentId]],6) &amp; "@sis.hust.edu.vn","")</f>
        <v>#REF!</v>
      </c>
    </row>
    <row r="16" spans="1:2" x14ac:dyDescent="0.25">
      <c r="A16" s="17" t="s">
        <v>43</v>
      </c>
      <c r="B16" s="4" t="e">
        <f>IF(AND(NOT(ISBLANK(Table15389[[#This Row],[StudentName]])), NOT(ISBLANK(Table15389[[#This Row],[StudentId]]))),#REF!&amp;"."&amp;LOWER(#REF!)&amp;RIGHT(Table15389[[#This Row],[StudentId]],6) &amp; "@sis.hust.edu.vn","")</f>
        <v>#REF!</v>
      </c>
    </row>
    <row r="17" spans="1:2" x14ac:dyDescent="0.25">
      <c r="A17" s="17" t="s">
        <v>44</v>
      </c>
      <c r="B17" s="4" t="e">
        <f>IF(AND(NOT(ISBLANK(Table15389[[#This Row],[StudentName]])), NOT(ISBLANK(Table15389[[#This Row],[StudentId]]))),#REF!&amp;"."&amp;LOWER(#REF!)&amp;RIGHT(Table15389[[#This Row],[StudentId]],6) &amp; "@sis.hust.edu.vn","")</f>
        <v>#REF!</v>
      </c>
    </row>
    <row r="18" spans="1:2" x14ac:dyDescent="0.25">
      <c r="A18" s="17" t="s">
        <v>7</v>
      </c>
      <c r="B18" s="4" t="e">
        <f>IF(AND(NOT(ISBLANK(Table15389[[#This Row],[StudentName]])), NOT(ISBLANK(Table15389[[#This Row],[StudentId]]))),#REF!&amp;"."&amp;LOWER(#REF!)&amp;RIGHT(Table15389[[#This Row],[StudentId]],6) &amp; "@sis.hust.edu.vn","")</f>
        <v>#REF!</v>
      </c>
    </row>
    <row r="19" spans="1:2" x14ac:dyDescent="0.25">
      <c r="A19" s="17" t="s">
        <v>8</v>
      </c>
      <c r="B19" s="4" t="e">
        <f>IF(AND(NOT(ISBLANK(Table15389[[#This Row],[StudentName]])), NOT(ISBLANK(Table15389[[#This Row],[StudentId]]))),#REF!&amp;"."&amp;LOWER(#REF!)&amp;RIGHT(Table15389[[#This Row],[StudentId]],6) &amp; "@sis.hust.edu.vn","")</f>
        <v>#REF!</v>
      </c>
    </row>
    <row r="20" spans="1:2" x14ac:dyDescent="0.25">
      <c r="A20" s="17" t="s">
        <v>8</v>
      </c>
      <c r="B20" s="4" t="e">
        <f>IF(AND(NOT(ISBLANK(Table15389[[#This Row],[StudentName]])), NOT(ISBLANK(Table15389[[#This Row],[StudentId]]))),#REF!&amp;"."&amp;LOWER(#REF!)&amp;RIGHT(Table15389[[#This Row],[StudentId]],6) &amp; "@sis.hust.edu.vn","")</f>
        <v>#REF!</v>
      </c>
    </row>
    <row r="21" spans="1:2" x14ac:dyDescent="0.25">
      <c r="A21" s="17" t="s">
        <v>45</v>
      </c>
      <c r="B21" s="4" t="e">
        <f>IF(AND(NOT(ISBLANK(Table15389[[#This Row],[StudentName]])), NOT(ISBLANK(Table15389[[#This Row],[StudentId]]))),#REF!&amp;"."&amp;LOWER(#REF!)&amp;RIGHT(Table15389[[#This Row],[StudentId]],6) &amp; "@sis.hust.edu.vn","")</f>
        <v>#REF!</v>
      </c>
    </row>
    <row r="22" spans="1:2" x14ac:dyDescent="0.25">
      <c r="A22" s="17" t="s">
        <v>46</v>
      </c>
      <c r="B22" s="4" t="e">
        <f>IF(AND(NOT(ISBLANK(Table15389[[#This Row],[StudentName]])), NOT(ISBLANK(Table15389[[#This Row],[StudentId]]))),#REF!&amp;"."&amp;LOWER(#REF!)&amp;RIGHT(Table15389[[#This Row],[StudentId]],6) &amp; "@sis.hust.edu.vn","")</f>
        <v>#REF!</v>
      </c>
    </row>
    <row r="23" spans="1:2" x14ac:dyDescent="0.25">
      <c r="A23" s="17" t="s">
        <v>47</v>
      </c>
      <c r="B23" s="4" t="e">
        <f>IF(AND(NOT(ISBLANK(Table15389[[#This Row],[StudentName]])), NOT(ISBLANK(Table15389[[#This Row],[StudentId]]))),#REF!&amp;"."&amp;LOWER(#REF!)&amp;RIGHT(Table15389[[#This Row],[StudentId]],6) &amp; "@sis.hust.edu.vn","")</f>
        <v>#REF!</v>
      </c>
    </row>
    <row r="24" spans="1:2" x14ac:dyDescent="0.25">
      <c r="A24" s="17" t="s">
        <v>48</v>
      </c>
      <c r="B24" s="4" t="e">
        <f>IF(AND(NOT(ISBLANK(Table15389[[#This Row],[StudentName]])), NOT(ISBLANK(Table15389[[#This Row],[StudentId]]))),#REF!&amp;"."&amp;LOWER(#REF!)&amp;RIGHT(Table15389[[#This Row],[StudentId]],6) &amp; "@sis.hust.edu.vn","")</f>
        <v>#REF!</v>
      </c>
    </row>
    <row r="25" spans="1:2" x14ac:dyDescent="0.25">
      <c r="A25" s="17" t="s">
        <v>49</v>
      </c>
      <c r="B25" s="4" t="e">
        <f>IF(AND(NOT(ISBLANK(Table15389[[#This Row],[StudentName]])), NOT(ISBLANK(Table15389[[#This Row],[StudentId]]))),#REF!&amp;"."&amp;LOWER(#REF!)&amp;RIGHT(Table15389[[#This Row],[StudentId]],6) &amp; "@sis.hust.edu.vn","")</f>
        <v>#REF!</v>
      </c>
    </row>
    <row r="26" spans="1:2" x14ac:dyDescent="0.25">
      <c r="A26" s="17" t="s">
        <v>50</v>
      </c>
      <c r="B26" s="4" t="e">
        <f>IF(AND(NOT(ISBLANK(Table15389[[#This Row],[StudentName]])), NOT(ISBLANK(Table15389[[#This Row],[StudentId]]))),#REF!&amp;"."&amp;LOWER(#REF!)&amp;RIGHT(Table15389[[#This Row],[StudentId]],6) &amp; "@sis.hust.edu.vn","")</f>
        <v>#REF!</v>
      </c>
    </row>
    <row r="27" spans="1:2" x14ac:dyDescent="0.25">
      <c r="A27" s="17" t="s">
        <v>51</v>
      </c>
      <c r="B27" s="4" t="e">
        <f>IF(AND(NOT(ISBLANK(Table15389[[#This Row],[StudentName]])), NOT(ISBLANK(Table15389[[#This Row],[StudentId]]))),#REF!&amp;"."&amp;LOWER(#REF!)&amp;RIGHT(Table15389[[#This Row],[StudentId]],6) &amp; "@sis.hust.edu.vn","")</f>
        <v>#REF!</v>
      </c>
    </row>
    <row r="28" spans="1:2" x14ac:dyDescent="0.25">
      <c r="A28" s="17" t="s">
        <v>52</v>
      </c>
      <c r="B28" s="4" t="e">
        <f>IF(AND(NOT(ISBLANK(Table15389[[#This Row],[StudentName]])), NOT(ISBLANK(Table15389[[#This Row],[StudentId]]))),#REF!&amp;"."&amp;LOWER(#REF!)&amp;RIGHT(Table15389[[#This Row],[StudentId]],6) &amp; "@sis.hust.edu.vn","")</f>
        <v>#REF!</v>
      </c>
    </row>
    <row r="29" spans="1:2" x14ac:dyDescent="0.25">
      <c r="A29" s="17" t="s">
        <v>53</v>
      </c>
      <c r="B29" s="4" t="e">
        <f>IF(AND(NOT(ISBLANK(Table15389[[#This Row],[StudentName]])), NOT(ISBLANK(Table15389[[#This Row],[StudentId]]))),#REF!&amp;"."&amp;LOWER(#REF!)&amp;RIGHT(Table15389[[#This Row],[StudentId]],6) &amp; "@sis.hust.edu.vn","")</f>
        <v>#REF!</v>
      </c>
    </row>
    <row r="30" spans="1:2" x14ac:dyDescent="0.25">
      <c r="A30" s="17" t="s">
        <v>54</v>
      </c>
      <c r="B30" s="4" t="e">
        <f>IF(AND(NOT(ISBLANK(Table15389[[#This Row],[StudentName]])), NOT(ISBLANK(Table15389[[#This Row],[StudentId]]))),#REF!&amp;"."&amp;LOWER(#REF!)&amp;RIGHT(Table15389[[#This Row],[StudentId]],6) &amp; "@sis.hust.edu.vn","")</f>
        <v>#REF!</v>
      </c>
    </row>
    <row r="31" spans="1:2" x14ac:dyDescent="0.25">
      <c r="A31" s="17" t="s">
        <v>9</v>
      </c>
      <c r="B31" s="4" t="e">
        <f>IF(AND(NOT(ISBLANK(Table15389[[#This Row],[StudentName]])), NOT(ISBLANK(Table15389[[#This Row],[StudentId]]))),#REF!&amp;"."&amp;LOWER(#REF!)&amp;RIGHT(Table15389[[#This Row],[StudentId]],6) &amp; "@sis.hust.edu.vn","")</f>
        <v>#REF!</v>
      </c>
    </row>
    <row r="32" spans="1:2" x14ac:dyDescent="0.25">
      <c r="A32" s="17" t="s">
        <v>55</v>
      </c>
      <c r="B32" s="4" t="e">
        <f>IF(AND(NOT(ISBLANK(Table15389[[#This Row],[StudentName]])), NOT(ISBLANK(Table15389[[#This Row],[StudentId]]))),#REF!&amp;"."&amp;LOWER(#REF!)&amp;RIGHT(Table15389[[#This Row],[StudentId]],6) &amp; "@sis.hust.edu.vn","")</f>
        <v>#REF!</v>
      </c>
    </row>
    <row r="33" spans="1:2" x14ac:dyDescent="0.25">
      <c r="A33" s="17" t="s">
        <v>56</v>
      </c>
      <c r="B33" s="4" t="e">
        <f>IF(AND(NOT(ISBLANK(Table15389[[#This Row],[StudentName]])), NOT(ISBLANK(Table15389[[#This Row],[StudentId]]))),#REF!&amp;"."&amp;LOWER(#REF!)&amp;RIGHT(Table15389[[#This Row],[StudentId]],6) &amp; "@sis.hust.edu.vn","")</f>
        <v>#REF!</v>
      </c>
    </row>
    <row r="34" spans="1:2" x14ac:dyDescent="0.25">
      <c r="A34" s="17" t="s">
        <v>57</v>
      </c>
      <c r="B34" s="4" t="e">
        <f>IF(AND(NOT(ISBLANK(Table15389[[#This Row],[StudentName]])), NOT(ISBLANK(Table15389[[#This Row],[StudentId]]))),#REF!&amp;"."&amp;LOWER(#REF!)&amp;RIGHT(Table15389[[#This Row],[StudentId]],6) &amp; "@sis.hust.edu.vn","")</f>
        <v>#REF!</v>
      </c>
    </row>
    <row r="35" spans="1:2" x14ac:dyDescent="0.25">
      <c r="A35" s="17" t="s">
        <v>58</v>
      </c>
      <c r="B35" s="4" t="e">
        <f>IF(AND(NOT(ISBLANK(Table15389[[#This Row],[StudentName]])), NOT(ISBLANK(Table15389[[#This Row],[StudentId]]))),#REF!&amp;"."&amp;LOWER(#REF!)&amp;RIGHT(Table15389[[#This Row],[StudentId]],6) &amp; "@sis.hust.edu.vn","")</f>
        <v>#REF!</v>
      </c>
    </row>
    <row r="36" spans="1:2" x14ac:dyDescent="0.25">
      <c r="A36" s="17" t="s">
        <v>59</v>
      </c>
      <c r="B36" s="4" t="e">
        <f>IF(AND(NOT(ISBLANK(Table15389[[#This Row],[StudentName]])), NOT(ISBLANK(Table15389[[#This Row],[StudentId]]))),#REF!&amp;"."&amp;LOWER(#REF!)&amp;RIGHT(Table15389[[#This Row],[StudentId]],6) &amp; "@sis.hust.edu.vn","")</f>
        <v>#REF!</v>
      </c>
    </row>
    <row r="37" spans="1:2" x14ac:dyDescent="0.25">
      <c r="A37" s="17" t="s">
        <v>60</v>
      </c>
      <c r="B37" s="4"/>
    </row>
    <row r="38" spans="1:2" x14ac:dyDescent="0.25">
      <c r="A38" s="17" t="s">
        <v>61</v>
      </c>
      <c r="B38" s="4" t="e">
        <f>IF(AND(NOT(ISBLANK(Table15389[[#This Row],[StudentName]])), NOT(ISBLANK(Table15389[[#This Row],[StudentId]]))),#REF!&amp;"."&amp;LOWER(#REF!)&amp;RIGHT(Table15389[[#This Row],[StudentId]],6) &amp; "@sis.hust.edu.vn","")</f>
        <v>#REF!</v>
      </c>
    </row>
    <row r="39" spans="1:2" x14ac:dyDescent="0.25">
      <c r="A39" s="17" t="s">
        <v>61</v>
      </c>
      <c r="B39" s="4" t="e">
        <f>IF(AND(NOT(ISBLANK(Table15389[[#This Row],[StudentName]])), NOT(ISBLANK(Table15389[[#This Row],[StudentId]]))),#REF!&amp;"."&amp;LOWER(#REF!)&amp;RIGHT(Table15389[[#This Row],[StudentId]],6) &amp; "@sis.hust.edu.vn","")</f>
        <v>#REF!</v>
      </c>
    </row>
    <row r="40" spans="1:2" x14ac:dyDescent="0.25">
      <c r="A40" s="17" t="s">
        <v>13</v>
      </c>
      <c r="B40" s="4" t="e">
        <f>IF(AND(NOT(ISBLANK(Table15389[[#This Row],[StudentName]])), NOT(ISBLANK(Table15389[[#This Row],[StudentId]]))),#REF!&amp;"."&amp;LOWER(#REF!)&amp;RIGHT(Table15389[[#This Row],[StudentId]],6) &amp; "@sis.hust.edu.vn","")</f>
        <v>#REF!</v>
      </c>
    </row>
    <row r="41" spans="1:2" x14ac:dyDescent="0.25">
      <c r="A41" s="17" t="s">
        <v>13</v>
      </c>
      <c r="B41" s="4" t="e">
        <f>IF(AND(NOT(ISBLANK(Table15389[[#This Row],[StudentName]])), NOT(ISBLANK(Table15389[[#This Row],[StudentId]]))),#REF!&amp;"."&amp;LOWER(#REF!)&amp;RIGHT(Table15389[[#This Row],[StudentId]],6) &amp; "@sis.hust.edu.vn","")</f>
        <v>#REF!</v>
      </c>
    </row>
    <row r="42" spans="1:2" x14ac:dyDescent="0.25">
      <c r="A42" s="17" t="s">
        <v>62</v>
      </c>
      <c r="B42" s="4" t="e">
        <f>IF(AND(NOT(ISBLANK(Table15389[[#This Row],[StudentName]])), NOT(ISBLANK(Table15389[[#This Row],[StudentId]]))),#REF!&amp;"."&amp;LOWER(#REF!)&amp;RIGHT(Table15389[[#This Row],[StudentId]],6) &amp; "@sis.hust.edu.vn","")</f>
        <v>#REF!</v>
      </c>
    </row>
    <row r="43" spans="1:2" x14ac:dyDescent="0.25">
      <c r="A43" s="17" t="s">
        <v>63</v>
      </c>
      <c r="B43" s="4" t="e">
        <f>IF(AND(NOT(ISBLANK(Table15389[[#This Row],[StudentName]])), NOT(ISBLANK(Table15389[[#This Row],[StudentId]]))),#REF!&amp;"."&amp;LOWER(#REF!)&amp;RIGHT(Table15389[[#This Row],[StudentId]],6) &amp; "@sis.hust.edu.vn","")</f>
        <v>#REF!</v>
      </c>
    </row>
    <row r="44" spans="1:2" x14ac:dyDescent="0.25">
      <c r="A44" s="17" t="s">
        <v>14</v>
      </c>
      <c r="B44" s="4" t="e">
        <f>IF(AND(NOT(ISBLANK(Table15389[[#This Row],[StudentName]])), NOT(ISBLANK(Table15389[[#This Row],[StudentId]]))),#REF!&amp;"."&amp;LOWER(#REF!)&amp;RIGHT(Table15389[[#This Row],[StudentId]],6) &amp; "@sis.hust.edu.vn","")</f>
        <v>#REF!</v>
      </c>
    </row>
    <row r="45" spans="1:2" x14ac:dyDescent="0.25">
      <c r="A45" s="17" t="s">
        <v>64</v>
      </c>
      <c r="B45" s="4" t="e">
        <f>IF(AND(NOT(ISBLANK(Table15389[[#This Row],[StudentName]])), NOT(ISBLANK(Table15389[[#This Row],[StudentId]]))),#REF!&amp;"."&amp;LOWER(#REF!)&amp;RIGHT(Table15389[[#This Row],[StudentId]],6) &amp; "@sis.hust.edu.vn","")</f>
        <v>#REF!</v>
      </c>
    </row>
    <row r="46" spans="1:2" x14ac:dyDescent="0.25">
      <c r="A46" s="17" t="s">
        <v>65</v>
      </c>
      <c r="B46" s="4" t="e">
        <f>IF(AND(NOT(ISBLANK(Table15389[[#This Row],[StudentName]])), NOT(ISBLANK(Table15389[[#This Row],[StudentId]]))),#REF!&amp;"."&amp;LOWER(#REF!)&amp;RIGHT(Table15389[[#This Row],[StudentId]],6) &amp; "@sis.hust.edu.vn","")</f>
        <v>#REF!</v>
      </c>
    </row>
    <row r="47" spans="1:2" x14ac:dyDescent="0.25">
      <c r="A47" s="17" t="s">
        <v>15</v>
      </c>
      <c r="B47" s="4" t="e">
        <f>IF(AND(NOT(ISBLANK(Table15389[[#This Row],[StudentName]])), NOT(ISBLANK(Table15389[[#This Row],[StudentId]]))),#REF!&amp;"."&amp;LOWER(#REF!)&amp;RIGHT(Table15389[[#This Row],[StudentId]],6) &amp; "@sis.hust.edu.vn","")</f>
        <v>#REF!</v>
      </c>
    </row>
    <row r="48" spans="1:2" x14ac:dyDescent="0.25">
      <c r="A48" s="17" t="s">
        <v>66</v>
      </c>
      <c r="B48" s="4" t="e">
        <f>IF(AND(NOT(ISBLANK(Table15389[[#This Row],[StudentName]])), NOT(ISBLANK(Table15389[[#This Row],[StudentId]]))),#REF!&amp;"."&amp;LOWER(#REF!)&amp;RIGHT(Table15389[[#This Row],[StudentId]],6) &amp; "@sis.hust.edu.vn","")</f>
        <v>#REF!</v>
      </c>
    </row>
    <row r="49" spans="1:2" x14ac:dyDescent="0.25">
      <c r="A49" s="17" t="s">
        <v>67</v>
      </c>
      <c r="B49" s="4" t="e">
        <f>IF(AND(NOT(ISBLANK(Table15389[[#This Row],[StudentName]])), NOT(ISBLANK(Table15389[[#This Row],[StudentId]]))),#REF!&amp;"."&amp;LOWER(#REF!)&amp;RIGHT(Table15389[[#This Row],[StudentId]],6) &amp; "@sis.hust.edu.vn","")</f>
        <v>#REF!</v>
      </c>
    </row>
    <row r="50" spans="1:2" x14ac:dyDescent="0.25">
      <c r="A50" s="17" t="s">
        <v>68</v>
      </c>
      <c r="B50" s="4" t="e">
        <f>IF(AND(NOT(ISBLANK(Table15389[[#This Row],[StudentName]])), NOT(ISBLANK(Table15389[[#This Row],[StudentId]]))),#REF!&amp;"."&amp;LOWER(#REF!)&amp;RIGHT(Table15389[[#This Row],[StudentId]],6) &amp; "@sis.hust.edu.vn","")</f>
        <v>#REF!</v>
      </c>
    </row>
    <row r="51" spans="1:2" x14ac:dyDescent="0.25">
      <c r="A51" s="17" t="s">
        <v>69</v>
      </c>
      <c r="B51" s="4" t="e">
        <f>IF(AND(NOT(ISBLANK(Table15389[[#This Row],[StudentName]])), NOT(ISBLANK(Table15389[[#This Row],[StudentId]]))),#REF!&amp;"."&amp;LOWER(#REF!)&amp;RIGHT(Table15389[[#This Row],[StudentId]],6) &amp; "@sis.hust.edu.vn","")</f>
        <v>#REF!</v>
      </c>
    </row>
    <row r="52" spans="1:2" x14ac:dyDescent="0.25">
      <c r="A52" s="17" t="s">
        <v>70</v>
      </c>
      <c r="B52" s="4" t="e">
        <f>IF(AND(NOT(ISBLANK(Table15389[[#This Row],[StudentName]])), NOT(ISBLANK(Table15389[[#This Row],[StudentId]]))),#REF!&amp;"."&amp;LOWER(#REF!)&amp;RIGHT(Table15389[[#This Row],[StudentId]],6) &amp; "@sis.hust.edu.vn","")</f>
        <v>#REF!</v>
      </c>
    </row>
    <row r="53" spans="1:2" x14ac:dyDescent="0.25">
      <c r="A53" s="17" t="s">
        <v>71</v>
      </c>
      <c r="B53" s="4" t="e">
        <f>IF(AND(NOT(ISBLANK(Table15389[[#This Row],[StudentName]])), NOT(ISBLANK(Table15389[[#This Row],[StudentId]]))),#REF!&amp;"."&amp;LOWER(#REF!)&amp;RIGHT(Table15389[[#This Row],[StudentId]],6) &amp; "@sis.hust.edu.vn","")</f>
        <v>#REF!</v>
      </c>
    </row>
    <row r="54" spans="1:2" x14ac:dyDescent="0.25">
      <c r="A54" s="17" t="s">
        <v>72</v>
      </c>
      <c r="B54" s="4" t="e">
        <f>IF(AND(NOT(ISBLANK(Table15389[[#This Row],[StudentName]])), NOT(ISBLANK(Table15389[[#This Row],[StudentId]]))),#REF!&amp;"."&amp;LOWER(#REF!)&amp;RIGHT(Table15389[[#This Row],[StudentId]],6) &amp; "@sis.hust.edu.vn","")</f>
        <v>#REF!</v>
      </c>
    </row>
    <row r="55" spans="1:2" x14ac:dyDescent="0.25">
      <c r="A55" s="17" t="s">
        <v>73</v>
      </c>
      <c r="B55" s="4" t="e">
        <f>IF(AND(NOT(ISBLANK(Table15389[[#This Row],[StudentName]])), NOT(ISBLANK(Table15389[[#This Row],[StudentId]]))),#REF!&amp;"."&amp;LOWER(#REF!)&amp;RIGHT(Table15389[[#This Row],[StudentId]],6) &amp; "@sis.hust.edu.vn","")</f>
        <v>#REF!</v>
      </c>
    </row>
    <row r="56" spans="1:2" x14ac:dyDescent="0.25">
      <c r="A56" s="17" t="s">
        <v>74</v>
      </c>
      <c r="B56" s="4" t="e">
        <f>IF(AND(NOT(ISBLANK(Table15389[[#This Row],[StudentName]])), NOT(ISBLANK(Table15389[[#This Row],[StudentId]]))),#REF!&amp;"."&amp;LOWER(#REF!)&amp;RIGHT(Table15389[[#This Row],[StudentId]],6) &amp; "@sis.hust.edu.vn","")</f>
        <v>#REF!</v>
      </c>
    </row>
    <row r="57" spans="1:2" x14ac:dyDescent="0.25">
      <c r="A57" s="19" t="s">
        <v>75</v>
      </c>
      <c r="B57" s="4" t="e">
        <f>IF(AND(NOT(ISBLANK(Table15389[[#This Row],[StudentName]])), NOT(ISBLANK(Table15389[[#This Row],[StudentId]]))),#REF!&amp;"."&amp;LOWER(#REF!)&amp;RIGHT(Table15389[[#This Row],[StudentId]],6) &amp; "@sis.hust.edu.vn","")</f>
        <v>#REF!</v>
      </c>
    </row>
    <row r="58" spans="1:2" x14ac:dyDescent="0.25">
      <c r="A58" s="19" t="s">
        <v>11</v>
      </c>
      <c r="B58" s="4" t="e">
        <f>IF(AND(NOT(ISBLANK(Table15389[[#This Row],[StudentName]])), NOT(ISBLANK(Table15389[[#This Row],[StudentId]]))),#REF!&amp;"."&amp;LOWER(#REF!)&amp;RIGHT(Table15389[[#This Row],[StudentId]],6) &amp; "@sis.hust.edu.vn","")</f>
        <v>#REF!</v>
      </c>
    </row>
    <row r="59" spans="1:2" x14ac:dyDescent="0.25">
      <c r="A59" s="19" t="s">
        <v>76</v>
      </c>
      <c r="B59" s="4" t="e">
        <f>IF(AND(NOT(ISBLANK(Table15389[[#This Row],[StudentName]])), NOT(ISBLANK(Table15389[[#This Row],[StudentId]]))),#REF!&amp;"."&amp;LOWER(#REF!)&amp;RIGHT(Table15389[[#This Row],[StudentId]],6) &amp; "@sis.hust.edu.vn","")</f>
        <v>#REF!</v>
      </c>
    </row>
    <row r="60" spans="1:2" x14ac:dyDescent="0.25">
      <c r="A60" s="19" t="s">
        <v>77</v>
      </c>
      <c r="B60" s="4" t="e">
        <f>IF(AND(NOT(ISBLANK(Table15389[[#This Row],[StudentName]])), NOT(ISBLANK(Table15389[[#This Row],[StudentId]]))),#REF!&amp;"."&amp;LOWER(#REF!)&amp;RIGHT(Table15389[[#This Row],[StudentId]],6) &amp; "@sis.hust.edu.vn","")</f>
        <v>#REF!</v>
      </c>
    </row>
    <row r="61" spans="1:2" x14ac:dyDescent="0.25">
      <c r="A61" s="19" t="s">
        <v>78</v>
      </c>
      <c r="B61" s="4" t="e">
        <f>IF(AND(NOT(ISBLANK(Table15389[[#This Row],[StudentName]])), NOT(ISBLANK(Table15389[[#This Row],[StudentId]]))),#REF!&amp;"."&amp;LOWER(#REF!)&amp;RIGHT(Table15389[[#This Row],[StudentId]],6) &amp; "@sis.hust.edu.vn","")</f>
        <v>#REF!</v>
      </c>
    </row>
    <row r="62" spans="1:2" x14ac:dyDescent="0.25">
      <c r="A62" s="19" t="s">
        <v>79</v>
      </c>
      <c r="B62" s="4" t="e">
        <f>IF(AND(NOT(ISBLANK(Table15389[[#This Row],[StudentName]])), NOT(ISBLANK(Table15389[[#This Row],[StudentId]]))),#REF!&amp;"."&amp;LOWER(#REF!)&amp;RIGHT(Table15389[[#This Row],[StudentId]],6) &amp; "@sis.hust.edu.vn","")</f>
        <v>#REF!</v>
      </c>
    </row>
    <row r="63" spans="1:2" x14ac:dyDescent="0.25">
      <c r="A63" s="19" t="s">
        <v>80</v>
      </c>
      <c r="B63" s="4" t="e">
        <f>IF(AND(NOT(ISBLANK(Table15389[[#This Row],[StudentName]])), NOT(ISBLANK(Table15389[[#This Row],[StudentId]]))),#REF!&amp;"."&amp;LOWER(#REF!)&amp;RIGHT(Table15389[[#This Row],[StudentId]],6) &amp; "@sis.hust.edu.vn","")</f>
        <v>#REF!</v>
      </c>
    </row>
    <row r="64" spans="1:2" x14ac:dyDescent="0.25">
      <c r="A64" s="19" t="s">
        <v>81</v>
      </c>
      <c r="B64" s="4" t="e">
        <f>IF(AND(NOT(ISBLANK(Table15389[[#This Row],[StudentName]])), NOT(ISBLANK(Table15389[[#This Row],[StudentId]]))),#REF!&amp;"."&amp;LOWER(#REF!)&amp;RIGHT(Table15389[[#This Row],[StudentId]],6) &amp; "@sis.hust.edu.vn","")</f>
        <v>#REF!</v>
      </c>
    </row>
    <row r="65" spans="1:2" x14ac:dyDescent="0.25">
      <c r="A65" s="19" t="s">
        <v>82</v>
      </c>
      <c r="B65" s="4" t="e">
        <f>IF(AND(NOT(ISBLANK(Table15389[[#This Row],[StudentName]])), NOT(ISBLANK(Table15389[[#This Row],[StudentId]]))),#REF!&amp;"."&amp;LOWER(#REF!)&amp;RIGHT(Table15389[[#This Row],[StudentId]],6) &amp; "@sis.hust.edu.vn","")</f>
        <v>#REF!</v>
      </c>
    </row>
    <row r="66" spans="1:2" x14ac:dyDescent="0.25">
      <c r="A66" s="19" t="s">
        <v>83</v>
      </c>
      <c r="B66" s="4" t="e">
        <f>IF(AND(NOT(ISBLANK(Table15389[[#This Row],[StudentName]])), NOT(ISBLANK(Table15389[[#This Row],[StudentId]]))),#REF!&amp;"."&amp;LOWER(#REF!)&amp;RIGHT(Table15389[[#This Row],[StudentId]],6) &amp; "@sis.hust.edu.vn","")</f>
        <v>#REF!</v>
      </c>
    </row>
    <row r="67" spans="1:2" x14ac:dyDescent="0.25">
      <c r="A67" s="19" t="s">
        <v>84</v>
      </c>
      <c r="B67" s="4" t="e">
        <f>IF(AND(NOT(ISBLANK(Table15389[[#This Row],[StudentName]])), NOT(ISBLANK(Table15389[[#This Row],[StudentId]]))),#REF!&amp;"."&amp;LOWER(#REF!)&amp;RIGHT(Table15389[[#This Row],[StudentId]],6) &amp; "@sis.hust.edu.vn","")</f>
        <v>#REF!</v>
      </c>
    </row>
    <row r="68" spans="1:2" x14ac:dyDescent="0.25">
      <c r="A68" s="19" t="s">
        <v>85</v>
      </c>
      <c r="B68" s="4" t="e">
        <f>IF(AND(NOT(ISBLANK(Table15389[[#This Row],[StudentName]])), NOT(ISBLANK(Table15389[[#This Row],[StudentId]]))),#REF!&amp;"."&amp;LOWER(#REF!)&amp;RIGHT(Table15389[[#This Row],[StudentId]],6) &amp; "@sis.hust.edu.vn","")</f>
        <v>#REF!</v>
      </c>
    </row>
    <row r="69" spans="1:2" x14ac:dyDescent="0.25">
      <c r="A69" s="19" t="s">
        <v>86</v>
      </c>
      <c r="B69" s="4" t="e">
        <f>IF(AND(NOT(ISBLANK(Table15389[[#This Row],[StudentName]])), NOT(ISBLANK(Table15389[[#This Row],[StudentId]]))),#REF!&amp;"."&amp;LOWER(#REF!)&amp;RIGHT(Table15389[[#This Row],[StudentId]],6) &amp; "@sis.hust.edu.vn","")</f>
        <v>#REF!</v>
      </c>
    </row>
    <row r="70" spans="1:2" ht="30" x14ac:dyDescent="0.25">
      <c r="A70" s="19" t="s">
        <v>87</v>
      </c>
      <c r="B70" s="4" t="e">
        <f>IF(AND(NOT(ISBLANK(Table15389[[#This Row],[StudentName]])), NOT(ISBLANK(Table15389[[#This Row],[StudentId]]))),#REF!&amp;"."&amp;LOWER(#REF!)&amp;RIGHT(Table15389[[#This Row],[StudentId]],6) &amp; "@sis.hust.edu.vn","")</f>
        <v>#REF!</v>
      </c>
    </row>
    <row r="71" spans="1:2" x14ac:dyDescent="0.25">
      <c r="A71" s="19" t="s">
        <v>88</v>
      </c>
      <c r="B71" s="4" t="e">
        <f>IF(AND(NOT(ISBLANK(Table15389[[#This Row],[StudentName]])), NOT(ISBLANK(Table15389[[#This Row],[StudentId]]))),#REF!&amp;"."&amp;LOWER(#REF!)&amp;RIGHT(Table15389[[#This Row],[StudentId]],6) &amp; "@sis.hust.edu.vn","")</f>
        <v>#REF!</v>
      </c>
    </row>
    <row r="72" spans="1:2" x14ac:dyDescent="0.25">
      <c r="A72" s="19" t="s">
        <v>89</v>
      </c>
      <c r="B72" s="4" t="e">
        <f>IF(AND(NOT(ISBLANK(Table15389[[#This Row],[StudentName]])), NOT(ISBLANK(Table15389[[#This Row],[StudentId]]))),#REF!&amp;"."&amp;LOWER(#REF!)&amp;RIGHT(Table15389[[#This Row],[StudentId]],6) &amp; "@sis.hust.edu.vn","")</f>
        <v>#REF!</v>
      </c>
    </row>
    <row r="73" spans="1:2" x14ac:dyDescent="0.25">
      <c r="A73" s="19" t="s">
        <v>90</v>
      </c>
      <c r="B73" s="4" t="e">
        <f>IF(AND(NOT(ISBLANK(Table15389[[#This Row],[StudentName]])), NOT(ISBLANK(Table15389[[#This Row],[StudentId]]))),#REF!&amp;"."&amp;LOWER(#REF!)&amp;RIGHT(Table15389[[#This Row],[StudentId]],6) &amp; "@sis.hust.edu.vn","")</f>
        <v>#REF!</v>
      </c>
    </row>
    <row r="74" spans="1:2" x14ac:dyDescent="0.25">
      <c r="A74" s="19" t="s">
        <v>91</v>
      </c>
      <c r="B74" s="4" t="e">
        <f>IF(AND(NOT(ISBLANK(Table15389[[#This Row],[StudentName]])), NOT(ISBLANK(Table15389[[#This Row],[StudentId]]))),#REF!&amp;"."&amp;LOWER(#REF!)&amp;RIGHT(Table15389[[#This Row],[StudentId]],6) &amp; "@sis.hust.edu.vn","")</f>
        <v>#REF!</v>
      </c>
    </row>
    <row r="75" spans="1:2" x14ac:dyDescent="0.25">
      <c r="A75" s="19" t="s">
        <v>92</v>
      </c>
      <c r="B75" s="4" t="e">
        <f>IF(AND(NOT(ISBLANK(Table15389[[#This Row],[StudentName]])), NOT(ISBLANK(Table15389[[#This Row],[StudentId]]))),#REF!&amp;"."&amp;LOWER(#REF!)&amp;RIGHT(Table15389[[#This Row],[StudentId]],6) &amp; "@sis.hust.edu.vn","")</f>
        <v>#REF!</v>
      </c>
    </row>
    <row r="76" spans="1:2" x14ac:dyDescent="0.25">
      <c r="A76" s="19" t="s">
        <v>93</v>
      </c>
      <c r="B76" s="4" t="e">
        <f>IF(AND(NOT(ISBLANK(Table15389[[#This Row],[StudentName]])), NOT(ISBLANK(Table15389[[#This Row],[StudentId]]))),#REF!&amp;"."&amp;LOWER(#REF!)&amp;RIGHT(Table15389[[#This Row],[StudentId]],6) &amp; "@sis.hust.edu.vn","")</f>
        <v>#REF!</v>
      </c>
    </row>
    <row r="77" spans="1:2" x14ac:dyDescent="0.25">
      <c r="A77" s="19" t="s">
        <v>94</v>
      </c>
      <c r="B77" s="4" t="e">
        <f>IF(AND(NOT(ISBLANK(Table15389[[#This Row],[StudentName]])), NOT(ISBLANK(Table15389[[#This Row],[StudentId]]))),#REF!&amp;"."&amp;LOWER(#REF!)&amp;RIGHT(Table15389[[#This Row],[StudentId]],6) &amp; "@sis.hust.edu.vn","")</f>
        <v>#REF!</v>
      </c>
    </row>
    <row r="78" spans="1:2" x14ac:dyDescent="0.25">
      <c r="A78" s="19" t="s">
        <v>95</v>
      </c>
      <c r="B78" s="4" t="e">
        <f>IF(AND(NOT(ISBLANK(Table15389[[#This Row],[StudentName]])), NOT(ISBLANK(Table15389[[#This Row],[StudentId]]))),#REF!&amp;"."&amp;LOWER(#REF!)&amp;RIGHT(Table15389[[#This Row],[StudentId]],6) &amp; "@sis.hust.edu.vn","")</f>
        <v>#REF!</v>
      </c>
    </row>
    <row r="79" spans="1:2" x14ac:dyDescent="0.25">
      <c r="A79" s="19" t="s">
        <v>96</v>
      </c>
      <c r="B79" s="4" t="e">
        <f>IF(AND(NOT(ISBLANK(Table15389[[#This Row],[StudentName]])), NOT(ISBLANK(Table15389[[#This Row],[StudentId]]))),#REF!&amp;"."&amp;LOWER(#REF!)&amp;RIGHT(Table15389[[#This Row],[StudentId]],6) &amp; "@sis.hust.edu.vn","")</f>
        <v>#REF!</v>
      </c>
    </row>
    <row r="80" spans="1:2" x14ac:dyDescent="0.25">
      <c r="A80" s="19" t="s">
        <v>97</v>
      </c>
      <c r="B80" s="4" t="e">
        <f>IF(AND(NOT(ISBLANK(Table15389[[#This Row],[StudentName]])), NOT(ISBLANK(Table15389[[#This Row],[StudentId]]))),#REF!&amp;"."&amp;LOWER(#REF!)&amp;RIGHT(Table15389[[#This Row],[StudentId]],6) &amp; "@sis.hust.edu.vn","")</f>
        <v>#REF!</v>
      </c>
    </row>
    <row r="81" spans="1:2" x14ac:dyDescent="0.25">
      <c r="A81" s="19" t="s">
        <v>98</v>
      </c>
      <c r="B81" s="4" t="e">
        <f>IF(AND(NOT(ISBLANK(Table15389[[#This Row],[StudentName]])), NOT(ISBLANK(Table15389[[#This Row],[StudentId]]))),#REF!&amp;"."&amp;LOWER(#REF!)&amp;RIGHT(Table15389[[#This Row],[StudentId]],6) &amp; "@sis.hust.edu.vn","")</f>
        <v>#REF!</v>
      </c>
    </row>
    <row r="82" spans="1:2" x14ac:dyDescent="0.25">
      <c r="A82" s="19" t="s">
        <v>99</v>
      </c>
      <c r="B82" s="4" t="e">
        <f>IF(AND(NOT(ISBLANK(Table15389[[#This Row],[StudentName]])), NOT(ISBLANK(Table15389[[#This Row],[StudentId]]))),#REF!&amp;"."&amp;LOWER(#REF!)&amp;RIGHT(Table15389[[#This Row],[StudentId]],6) &amp; "@sis.hust.edu.vn","")</f>
        <v>#REF!</v>
      </c>
    </row>
    <row r="83" spans="1:2" x14ac:dyDescent="0.25">
      <c r="A83" s="19" t="s">
        <v>16</v>
      </c>
      <c r="B83" s="4" t="e">
        <f>IF(AND(NOT(ISBLANK(Table15389[[#This Row],[StudentName]])), NOT(ISBLANK(Table15389[[#This Row],[StudentId]]))),#REF!&amp;"."&amp;LOWER(#REF!)&amp;RIGHT(Table15389[[#This Row],[StudentId]],6) &amp; "@sis.hust.edu.vn","")</f>
        <v>#REF!</v>
      </c>
    </row>
    <row r="84" spans="1:2" x14ac:dyDescent="0.25">
      <c r="A84" s="19" t="s">
        <v>100</v>
      </c>
      <c r="B84" s="4" t="e">
        <f>IF(AND(NOT(ISBLANK(Table15389[[#This Row],[StudentName]])), NOT(ISBLANK(Table15389[[#This Row],[StudentId]]))),#REF!&amp;"."&amp;LOWER(#REF!)&amp;RIGHT(Table15389[[#This Row],[StudentId]],6) &amp; "@sis.hust.edu.vn","")</f>
        <v>#REF!</v>
      </c>
    </row>
    <row r="85" spans="1:2" x14ac:dyDescent="0.25">
      <c r="A85" s="19" t="s">
        <v>101</v>
      </c>
      <c r="B85" s="4" t="e">
        <f>IF(AND(NOT(ISBLANK(Table15389[[#This Row],[StudentName]])), NOT(ISBLANK(Table15389[[#This Row],[StudentId]]))),#REF!&amp;"."&amp;LOWER(#REF!)&amp;RIGHT(Table15389[[#This Row],[StudentId]],6) &amp; "@sis.hust.edu.vn","")</f>
        <v>#REF!</v>
      </c>
    </row>
    <row r="86" spans="1:2" x14ac:dyDescent="0.25">
      <c r="A86" s="19" t="s">
        <v>102</v>
      </c>
      <c r="B86" s="4" t="e">
        <f>IF(AND(NOT(ISBLANK(Table15389[[#This Row],[StudentName]])), NOT(ISBLANK(Table15389[[#This Row],[StudentId]]))),#REF!&amp;"."&amp;LOWER(#REF!)&amp;RIGHT(Table15389[[#This Row],[StudentId]],6) &amp; "@sis.hust.edu.vn","")</f>
        <v>#REF!</v>
      </c>
    </row>
    <row r="87" spans="1:2" x14ac:dyDescent="0.25">
      <c r="A87" s="19" t="s">
        <v>103</v>
      </c>
      <c r="B87" s="4" t="e">
        <f>IF(AND(NOT(ISBLANK(Table15389[[#This Row],[StudentName]])), NOT(ISBLANK(Table15389[[#This Row],[StudentId]]))),#REF!&amp;"."&amp;LOWER(#REF!)&amp;RIGHT(Table15389[[#This Row],[StudentId]],6) &amp; "@sis.hust.edu.vn","")</f>
        <v>#REF!</v>
      </c>
    </row>
    <row r="88" spans="1:2" x14ac:dyDescent="0.25">
      <c r="A88" s="19" t="s">
        <v>104</v>
      </c>
      <c r="B88" s="4" t="e">
        <f>IF(AND(NOT(ISBLANK(Table15389[[#This Row],[StudentName]])), NOT(ISBLANK(Table15389[[#This Row],[StudentId]]))),#REF!&amp;"."&amp;LOWER(#REF!)&amp;RIGHT(Table15389[[#This Row],[StudentId]],6) &amp; "@sis.hust.edu.vn","")</f>
        <v>#REF!</v>
      </c>
    </row>
    <row r="89" spans="1:2" ht="30" x14ac:dyDescent="0.25">
      <c r="A89" s="19" t="s">
        <v>105</v>
      </c>
      <c r="B89" s="4" t="e">
        <f>IF(AND(NOT(ISBLANK(Table15389[[#This Row],[StudentName]])), NOT(ISBLANK(Table15389[[#This Row],[StudentId]]))),#REF!&amp;"."&amp;LOWER(#REF!)&amp;RIGHT(Table15389[[#This Row],[StudentId]],6) &amp; "@sis.hust.edu.vn","")</f>
        <v>#REF!</v>
      </c>
    </row>
    <row r="90" spans="1:2" x14ac:dyDescent="0.25">
      <c r="A90" s="19" t="s">
        <v>106</v>
      </c>
      <c r="B90" s="4" t="e">
        <f>IF(AND(NOT(ISBLANK(Table15389[[#This Row],[StudentName]])), NOT(ISBLANK(Table15389[[#This Row],[StudentId]]))),#REF!&amp;"."&amp;LOWER(#REF!)&amp;RIGHT(Table15389[[#This Row],[StudentId]],6) &amp; "@sis.hust.edu.vn","")</f>
        <v>#REF!</v>
      </c>
    </row>
    <row r="91" spans="1:2" x14ac:dyDescent="0.25">
      <c r="A91" s="19" t="s">
        <v>107</v>
      </c>
      <c r="B91" s="4" t="e">
        <f>IF(AND(NOT(ISBLANK(Table15389[[#This Row],[StudentName]])), NOT(ISBLANK(Table15389[[#This Row],[StudentId]]))),#REF!&amp;"."&amp;LOWER(#REF!)&amp;RIGHT(Table15389[[#This Row],[StudentId]],6) &amp; "@sis.hust.edu.vn","")</f>
        <v>#REF!</v>
      </c>
    </row>
    <row r="92" spans="1:2" x14ac:dyDescent="0.25">
      <c r="A92" s="19" t="s">
        <v>108</v>
      </c>
      <c r="B92" s="4" t="e">
        <f>IF(AND(NOT(ISBLANK(Table15389[[#This Row],[StudentName]])), NOT(ISBLANK(Table15389[[#This Row],[StudentId]]))),#REF!&amp;"."&amp;LOWER(#REF!)&amp;RIGHT(Table15389[[#This Row],[StudentId]],6) &amp; "@sis.hust.edu.vn","")</f>
        <v>#REF!</v>
      </c>
    </row>
    <row r="93" spans="1:2" x14ac:dyDescent="0.25">
      <c r="A93" s="19" t="s">
        <v>109</v>
      </c>
      <c r="B93" s="4" t="e">
        <f>IF(AND(NOT(ISBLANK(Table15389[[#This Row],[StudentName]])), NOT(ISBLANK(Table15389[[#This Row],[StudentId]]))),#REF!&amp;"."&amp;LOWER(#REF!)&amp;RIGHT(Table15389[[#This Row],[StudentId]],6) &amp; "@sis.hust.edu.vn","")</f>
        <v>#REF!</v>
      </c>
    </row>
    <row r="94" spans="1:2" x14ac:dyDescent="0.25">
      <c r="A94" s="19" t="s">
        <v>110</v>
      </c>
      <c r="B94" s="4" t="e">
        <f>IF(AND(NOT(ISBLANK(Table15389[[#This Row],[StudentName]])), NOT(ISBLANK(Table15389[[#This Row],[StudentId]]))),#REF!&amp;"."&amp;LOWER(#REF!)&amp;RIGHT(Table15389[[#This Row],[StudentId]],6) &amp; "@sis.hust.edu.vn","")</f>
        <v>#REF!</v>
      </c>
    </row>
    <row r="95" spans="1:2" x14ac:dyDescent="0.25">
      <c r="A95" s="19" t="s">
        <v>111</v>
      </c>
      <c r="B95" s="4" t="e">
        <f>IF(AND(NOT(ISBLANK(Table15389[[#This Row],[StudentName]])), NOT(ISBLANK(Table15389[[#This Row],[StudentId]]))),#REF!&amp;"."&amp;LOWER(#REF!)&amp;RIGHT(Table15389[[#This Row],[StudentId]],6) &amp; "@sis.hust.edu.vn","")</f>
        <v>#REF!</v>
      </c>
    </row>
    <row r="96" spans="1:2" x14ac:dyDescent="0.25">
      <c r="A96" s="19" t="s">
        <v>17</v>
      </c>
      <c r="B96" s="4" t="e">
        <f>IF(AND(NOT(ISBLANK(Table15389[[#This Row],[StudentName]])), NOT(ISBLANK(Table15389[[#This Row],[StudentId]]))),#REF!&amp;"."&amp;LOWER(#REF!)&amp;RIGHT(Table15389[[#This Row],[StudentId]],6) &amp; "@sis.hust.edu.vn","")</f>
        <v>#REF!</v>
      </c>
    </row>
    <row r="97" spans="1:2" x14ac:dyDescent="0.25">
      <c r="A97" s="19" t="s">
        <v>112</v>
      </c>
      <c r="B97" s="4" t="e">
        <f>IF(AND(NOT(ISBLANK(Table15389[[#This Row],[StudentName]])), NOT(ISBLANK(Table15389[[#This Row],[StudentId]]))),#REF!&amp;"."&amp;LOWER(#REF!)&amp;RIGHT(Table15389[[#This Row],[StudentId]],6) &amp; "@sis.hust.edu.vn","")</f>
        <v>#REF!</v>
      </c>
    </row>
    <row r="98" spans="1:2" x14ac:dyDescent="0.25">
      <c r="A98" s="19" t="s">
        <v>113</v>
      </c>
      <c r="B98" s="4" t="e">
        <f>IF(AND(NOT(ISBLANK(Table15389[[#This Row],[StudentName]])), NOT(ISBLANK(Table15389[[#This Row],[StudentId]]))),#REF!&amp;"."&amp;LOWER(#REF!)&amp;RIGHT(Table15389[[#This Row],[StudentId]],6) &amp; "@sis.hust.edu.vn","")</f>
        <v>#REF!</v>
      </c>
    </row>
    <row r="99" spans="1:2" x14ac:dyDescent="0.25">
      <c r="A99" s="19" t="s">
        <v>114</v>
      </c>
      <c r="B99" s="4" t="e">
        <f>IF(AND(NOT(ISBLANK(Table15389[[#This Row],[StudentName]])), NOT(ISBLANK(Table15389[[#This Row],[StudentId]]))),#REF!&amp;"."&amp;LOWER(#REF!)&amp;RIGHT(Table15389[[#This Row],[StudentId]],6) &amp; "@sis.hust.edu.vn","")</f>
        <v>#REF!</v>
      </c>
    </row>
    <row r="100" spans="1:2" x14ac:dyDescent="0.25">
      <c r="A100" s="19" t="s">
        <v>115</v>
      </c>
      <c r="B100" s="4" t="e">
        <f>IF(AND(NOT(ISBLANK(Table15389[[#This Row],[StudentName]])), NOT(ISBLANK(Table15389[[#This Row],[StudentId]]))),#REF!&amp;"."&amp;LOWER(#REF!)&amp;RIGHT(Table15389[[#This Row],[StudentId]],6) &amp; "@sis.hust.edu.vn","")</f>
        <v>#REF!</v>
      </c>
    </row>
    <row r="101" spans="1:2" x14ac:dyDescent="0.25">
      <c r="A101" s="19" t="s">
        <v>116</v>
      </c>
      <c r="B101" s="4" t="e">
        <f>IF(AND(NOT(ISBLANK(Table15389[[#This Row],[StudentName]])), NOT(ISBLANK(Table15389[[#This Row],[StudentId]]))),#REF!&amp;"."&amp;LOWER(#REF!)&amp;RIGHT(Table15389[[#This Row],[StudentId]],6) &amp; "@sis.hust.edu.vn","")</f>
        <v>#REF!</v>
      </c>
    </row>
    <row r="107" spans="1:2" x14ac:dyDescent="0.25">
      <c r="A107" s="7" t="s">
        <v>25</v>
      </c>
    </row>
    <row r="108" spans="1:2" x14ac:dyDescent="0.25">
      <c r="A108" s="7" t="s">
        <v>24</v>
      </c>
    </row>
    <row r="109" spans="1:2" x14ac:dyDescent="0.25">
      <c r="A109">
        <v>10</v>
      </c>
    </row>
    <row r="110" spans="1:2" x14ac:dyDescent="0.25">
      <c r="A110">
        <v>9.5</v>
      </c>
    </row>
    <row r="111" spans="1:2" x14ac:dyDescent="0.25">
      <c r="A111">
        <v>9</v>
      </c>
    </row>
    <row r="112" spans="1:2" x14ac:dyDescent="0.25">
      <c r="A112">
        <v>8.5</v>
      </c>
    </row>
    <row r="113" spans="1:1" x14ac:dyDescent="0.25">
      <c r="A113">
        <v>8</v>
      </c>
    </row>
    <row r="114" spans="1:1" x14ac:dyDescent="0.25">
      <c r="A114">
        <v>7.5</v>
      </c>
    </row>
    <row r="115" spans="1:1" x14ac:dyDescent="0.25">
      <c r="A115">
        <v>7</v>
      </c>
    </row>
    <row r="116" spans="1:1" x14ac:dyDescent="0.25">
      <c r="A116">
        <v>6.5</v>
      </c>
    </row>
    <row r="117" spans="1:1" x14ac:dyDescent="0.25">
      <c r="A117">
        <v>6</v>
      </c>
    </row>
    <row r="118" spans="1:1" x14ac:dyDescent="0.25">
      <c r="A118">
        <v>5.5</v>
      </c>
    </row>
    <row r="119" spans="1:1" x14ac:dyDescent="0.25">
      <c r="A119">
        <v>5</v>
      </c>
    </row>
    <row r="120" spans="1:1" x14ac:dyDescent="0.25">
      <c r="A120">
        <v>4.5</v>
      </c>
    </row>
    <row r="121" spans="1:1" x14ac:dyDescent="0.25">
      <c r="A121">
        <v>4</v>
      </c>
    </row>
    <row r="122" spans="1:1" x14ac:dyDescent="0.25">
      <c r="A122">
        <v>3.5</v>
      </c>
    </row>
    <row r="123" spans="1:1" x14ac:dyDescent="0.25">
      <c r="A123">
        <v>3</v>
      </c>
    </row>
    <row r="124" spans="1:1" x14ac:dyDescent="0.25">
      <c r="A124">
        <v>2.5</v>
      </c>
    </row>
    <row r="125" spans="1:1" x14ac:dyDescent="0.25">
      <c r="A125">
        <v>2</v>
      </c>
    </row>
    <row r="126" spans="1:1" x14ac:dyDescent="0.25">
      <c r="A126">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F327F-5DB3-4C47-978B-BA543EFF32E8}">
  <sheetPr codeName="Sheet8"/>
  <dimension ref="A1:J21"/>
  <sheetViews>
    <sheetView zoomScale="130" zoomScaleNormal="130" workbookViewId="0">
      <selection activeCell="D8" sqref="D2:D8"/>
    </sheetView>
  </sheetViews>
  <sheetFormatPr defaultRowHeight="15" x14ac:dyDescent="0.25"/>
  <cols>
    <col min="2" max="2" width="10.7109375" bestFit="1" customWidth="1"/>
    <col min="3" max="3" width="22.7109375" bestFit="1" customWidth="1"/>
    <col min="4" max="4" width="59.7109375" bestFit="1" customWidth="1"/>
    <col min="5" max="5" width="8.140625" style="7" bestFit="1" customWidth="1"/>
    <col min="6" max="6" width="5.5703125" bestFit="1" customWidth="1"/>
    <col min="7" max="7" width="8" customWidth="1"/>
    <col min="8" max="8" width="17.42578125" bestFit="1" customWidth="1"/>
    <col min="9" max="9" width="11.85546875" customWidth="1"/>
    <col min="10" max="10" width="43.85546875" customWidth="1"/>
  </cols>
  <sheetData>
    <row r="1" spans="1:10" s="22" customFormat="1" x14ac:dyDescent="0.25">
      <c r="A1" s="22" t="s">
        <v>6</v>
      </c>
      <c r="B1" s="23" t="s">
        <v>5</v>
      </c>
      <c r="C1" s="23" t="s">
        <v>0</v>
      </c>
      <c r="D1" s="22" t="s">
        <v>457</v>
      </c>
      <c r="E1" s="24" t="s">
        <v>2</v>
      </c>
      <c r="F1" s="22" t="s">
        <v>3</v>
      </c>
      <c r="G1" s="22" t="s">
        <v>4</v>
      </c>
      <c r="H1" s="25" t="s">
        <v>18</v>
      </c>
      <c r="I1" s="22" t="s">
        <v>29</v>
      </c>
      <c r="J1" s="22" t="s">
        <v>30</v>
      </c>
    </row>
    <row r="2" spans="1:10" x14ac:dyDescent="0.25">
      <c r="A2" s="15">
        <v>1</v>
      </c>
      <c r="B2" s="28">
        <v>20161328</v>
      </c>
      <c r="C2" s="29" t="s">
        <v>357</v>
      </c>
      <c r="D2" s="20" t="s">
        <v>458</v>
      </c>
      <c r="E2" s="30"/>
      <c r="F2" s="3"/>
      <c r="G2" s="5">
        <f>Table1534[[#This Row],[GK]]*0.3+Table1534[[#This Row],[CK]]*0.7</f>
        <v>0</v>
      </c>
      <c r="H2" s="12">
        <v>1</v>
      </c>
      <c r="I2" s="26"/>
      <c r="J2" s="15"/>
    </row>
    <row r="3" spans="1:10" x14ac:dyDescent="0.25">
      <c r="A3" s="15">
        <v>2</v>
      </c>
      <c r="B3" s="28">
        <v>20161303</v>
      </c>
      <c r="C3" s="29" t="s">
        <v>358</v>
      </c>
      <c r="D3" s="20" t="s">
        <v>459</v>
      </c>
      <c r="E3" s="30"/>
      <c r="F3" s="3"/>
      <c r="G3" s="5">
        <f>Table1534[[#This Row],[GK]]*0.3+Table1534[[#This Row],[CK]]*0.7</f>
        <v>0</v>
      </c>
      <c r="H3" s="12">
        <v>2</v>
      </c>
      <c r="I3" s="15"/>
      <c r="J3" s="15"/>
    </row>
    <row r="4" spans="1:10" x14ac:dyDescent="0.25">
      <c r="A4" s="15">
        <v>3</v>
      </c>
      <c r="B4" s="28">
        <v>20163598</v>
      </c>
      <c r="C4" s="29" t="s">
        <v>359</v>
      </c>
      <c r="D4" s="20" t="s">
        <v>462</v>
      </c>
      <c r="E4" s="30"/>
      <c r="F4" s="3"/>
      <c r="G4" s="5">
        <f>Table1534[[#This Row],[GK]]*0.3+Table1534[[#This Row],[CK]]*0.7</f>
        <v>0</v>
      </c>
      <c r="H4" s="12">
        <v>5</v>
      </c>
      <c r="I4" s="20"/>
      <c r="J4" s="15"/>
    </row>
    <row r="5" spans="1:10" x14ac:dyDescent="0.25">
      <c r="A5" s="15">
        <v>4</v>
      </c>
      <c r="B5" s="21">
        <v>20161999</v>
      </c>
      <c r="C5" s="1" t="s">
        <v>360</v>
      </c>
      <c r="D5" s="4"/>
      <c r="E5" s="9"/>
      <c r="F5" s="2"/>
      <c r="G5" s="8">
        <f>Table1534[[#This Row],[GK]]*0.3+Table1534[[#This Row],[CK]]*0.7</f>
        <v>0</v>
      </c>
      <c r="H5" s="12">
        <v>1</v>
      </c>
      <c r="I5" s="26"/>
      <c r="J5" s="15"/>
    </row>
    <row r="6" spans="1:10" x14ac:dyDescent="0.25">
      <c r="A6" s="15">
        <v>5</v>
      </c>
      <c r="B6" s="21">
        <v>20162244</v>
      </c>
      <c r="C6" s="1" t="s">
        <v>124</v>
      </c>
      <c r="D6" s="36" t="s">
        <v>460</v>
      </c>
      <c r="E6" s="9"/>
      <c r="F6" s="2"/>
      <c r="G6" s="8">
        <f>Table1534[[#This Row],[GK]]*0.3+Table1534[[#This Row],[CK]]*0.7</f>
        <v>0</v>
      </c>
      <c r="H6" s="12">
        <v>3</v>
      </c>
      <c r="I6" s="15"/>
      <c r="J6" s="15"/>
    </row>
    <row r="7" spans="1:10" x14ac:dyDescent="0.25">
      <c r="A7" s="15">
        <v>6</v>
      </c>
      <c r="B7" s="21">
        <v>20160982</v>
      </c>
      <c r="C7" s="1" t="s">
        <v>361</v>
      </c>
      <c r="D7" s="4"/>
      <c r="E7" s="9"/>
      <c r="F7" s="2"/>
      <c r="G7" s="8">
        <f>Table1534[[#This Row],[GK]]*0.3+Table1534[[#This Row],[CK]]*0.7</f>
        <v>0</v>
      </c>
      <c r="H7" s="12">
        <v>2</v>
      </c>
      <c r="I7" s="15"/>
      <c r="J7" s="15"/>
    </row>
    <row r="8" spans="1:10" x14ac:dyDescent="0.25">
      <c r="A8" s="15">
        <v>7</v>
      </c>
      <c r="B8" s="21">
        <v>20166042</v>
      </c>
      <c r="C8" s="1" t="s">
        <v>362</v>
      </c>
      <c r="D8" s="36" t="s">
        <v>461</v>
      </c>
      <c r="E8" s="9"/>
      <c r="F8" s="2"/>
      <c r="G8" s="8">
        <f>Table1534[[#This Row],[GK]]*0.3+Table1534[[#This Row],[CK]]*0.7</f>
        <v>0</v>
      </c>
      <c r="H8" s="12">
        <v>4</v>
      </c>
      <c r="I8" s="15"/>
      <c r="J8" s="15"/>
    </row>
    <row r="9" spans="1:10" x14ac:dyDescent="0.25">
      <c r="A9" s="15">
        <v>8</v>
      </c>
      <c r="B9" s="21">
        <v>20163343</v>
      </c>
      <c r="C9" s="1" t="s">
        <v>363</v>
      </c>
      <c r="D9" s="4"/>
      <c r="E9" s="9"/>
      <c r="F9" s="2"/>
      <c r="G9" s="8">
        <f>Table1534[[#This Row],[GK]]*0.3+Table1534[[#This Row],[CK]]*0.7</f>
        <v>0</v>
      </c>
      <c r="H9" s="12">
        <v>4</v>
      </c>
      <c r="I9" s="15"/>
      <c r="J9" s="15"/>
    </row>
    <row r="10" spans="1:10" x14ac:dyDescent="0.25">
      <c r="A10" s="15">
        <v>9</v>
      </c>
      <c r="B10" s="21">
        <v>20160623</v>
      </c>
      <c r="C10" s="1" t="s">
        <v>364</v>
      </c>
      <c r="D10" s="4"/>
      <c r="E10" s="9"/>
      <c r="F10" s="2"/>
      <c r="G10" s="8">
        <f>Table1534[[#This Row],[GK]]*0.3+Table1534[[#This Row],[CK]]*0.7</f>
        <v>0</v>
      </c>
      <c r="H10" s="12">
        <v>2</v>
      </c>
      <c r="I10" s="15"/>
      <c r="J10" s="15"/>
    </row>
    <row r="11" spans="1:10" x14ac:dyDescent="0.25">
      <c r="A11" s="15">
        <v>10</v>
      </c>
      <c r="B11" s="21">
        <v>20162826</v>
      </c>
      <c r="C11" s="1" t="s">
        <v>365</v>
      </c>
      <c r="D11" s="4"/>
      <c r="E11" s="9"/>
      <c r="F11" s="2"/>
      <c r="G11" s="8">
        <f>Table1534[[#This Row],[GK]]*0.3+Table1534[[#This Row],[CK]]*0.7</f>
        <v>0</v>
      </c>
      <c r="H11" s="12">
        <v>4</v>
      </c>
      <c r="I11" s="15"/>
      <c r="J11" s="15"/>
    </row>
    <row r="12" spans="1:10" x14ac:dyDescent="0.25">
      <c r="A12" s="15">
        <v>11</v>
      </c>
      <c r="B12" s="21">
        <v>20163437</v>
      </c>
      <c r="C12" s="1" t="s">
        <v>366</v>
      </c>
      <c r="D12" s="4"/>
      <c r="E12" s="9"/>
      <c r="F12" s="2"/>
      <c r="G12" s="8">
        <f>Table1534[[#This Row],[GK]]*0.3+Table1534[[#This Row],[CK]]*0.7</f>
        <v>0</v>
      </c>
      <c r="H12" s="12">
        <v>5</v>
      </c>
      <c r="I12" s="15"/>
      <c r="J12" s="15"/>
    </row>
    <row r="13" spans="1:10" s="2" customFormat="1" x14ac:dyDescent="0.25">
      <c r="A13" s="15">
        <v>12</v>
      </c>
      <c r="B13" s="21">
        <v>20163379</v>
      </c>
      <c r="C13" s="1" t="s">
        <v>367</v>
      </c>
      <c r="D13" s="4"/>
      <c r="E13" s="9"/>
      <c r="G13" s="8">
        <f>Table1534[[#This Row],[GK]]*0.3+Table1534[[#This Row],[CK]]*0.7</f>
        <v>0</v>
      </c>
      <c r="H13" s="12">
        <v>3</v>
      </c>
      <c r="I13" s="15"/>
      <c r="J13" s="15"/>
    </row>
    <row r="14" spans="1:10" s="2" customFormat="1" x14ac:dyDescent="0.25">
      <c r="A14" s="15">
        <v>13</v>
      </c>
      <c r="B14" s="21">
        <v>20161050</v>
      </c>
      <c r="C14" s="1" t="s">
        <v>368</v>
      </c>
      <c r="D14" s="4"/>
      <c r="E14" s="9"/>
      <c r="G14" s="8">
        <f>Table1534[[#This Row],[GK]]*0.3+Table1534[[#This Row],[CK]]*0.7</f>
        <v>0</v>
      </c>
      <c r="H14" s="12">
        <v>5</v>
      </c>
      <c r="I14" s="15"/>
      <c r="J14" s="15"/>
    </row>
    <row r="15" spans="1:10" s="2" customFormat="1" x14ac:dyDescent="0.25">
      <c r="A15" s="15">
        <v>14</v>
      </c>
      <c r="B15" s="32">
        <v>20163209</v>
      </c>
      <c r="C15" s="33" t="s">
        <v>369</v>
      </c>
      <c r="D15" s="4"/>
      <c r="E15" s="34"/>
      <c r="F15" s="10"/>
      <c r="G15" s="8">
        <f>Table1534[[#This Row],[GK]]*0.3+Table1534[[#This Row],[CK]]*0.7</f>
        <v>0</v>
      </c>
      <c r="H15" s="12">
        <v>2</v>
      </c>
      <c r="I15" s="27"/>
      <c r="J15" s="15"/>
    </row>
    <row r="16" spans="1:10" s="2" customFormat="1" x14ac:dyDescent="0.25">
      <c r="A16" s="15">
        <v>15</v>
      </c>
      <c r="B16" s="21">
        <v>20165746</v>
      </c>
      <c r="C16" s="1" t="s">
        <v>370</v>
      </c>
      <c r="D16" s="4"/>
      <c r="E16" s="9"/>
      <c r="G16" s="8">
        <f>Table1534[[#This Row],[GK]]*0.3+Table1534[[#This Row],[CK]]*0.7</f>
        <v>0</v>
      </c>
      <c r="H16" s="12">
        <v>1</v>
      </c>
      <c r="I16" s="15"/>
      <c r="J16" s="15"/>
    </row>
    <row r="17" spans="1:10" x14ac:dyDescent="0.25">
      <c r="A17" s="15">
        <v>16</v>
      </c>
      <c r="B17" s="21">
        <v>20162315</v>
      </c>
      <c r="C17" s="1" t="s">
        <v>371</v>
      </c>
      <c r="D17" s="4"/>
      <c r="E17" s="9"/>
      <c r="F17" s="2"/>
      <c r="G17" s="8">
        <f>Table1534[[#This Row],[GK]]*0.3+Table1534[[#This Row],[CK]]*0.7</f>
        <v>0</v>
      </c>
      <c r="H17" s="12">
        <v>1</v>
      </c>
      <c r="I17" s="15"/>
      <c r="J17" s="15"/>
    </row>
    <row r="18" spans="1:10" x14ac:dyDescent="0.25">
      <c r="A18" s="15">
        <v>17</v>
      </c>
      <c r="B18" s="21">
        <v>20166678</v>
      </c>
      <c r="C18" s="1" t="s">
        <v>372</v>
      </c>
      <c r="D18" s="4"/>
      <c r="E18" s="9"/>
      <c r="F18" s="2"/>
      <c r="G18" s="8">
        <f>Table1534[[#This Row],[GK]]*0.3+Table1534[[#This Row],[CK]]*0.7</f>
        <v>0</v>
      </c>
      <c r="H18" s="12">
        <v>3</v>
      </c>
      <c r="I18" s="26"/>
      <c r="J18" s="15"/>
    </row>
    <row r="19" spans="1:10" x14ac:dyDescent="0.25">
      <c r="A19" s="15">
        <v>18</v>
      </c>
      <c r="B19" s="21">
        <v>20160683</v>
      </c>
      <c r="C19" s="1" t="s">
        <v>8</v>
      </c>
      <c r="D19" s="4"/>
      <c r="E19" s="9"/>
      <c r="F19" s="2"/>
      <c r="G19" s="8">
        <f>Table1534[[#This Row],[GK]]*0.3+Table1534[[#This Row],[CK]]*0.7</f>
        <v>0</v>
      </c>
      <c r="H19" s="11">
        <v>3</v>
      </c>
      <c r="I19" s="27"/>
      <c r="J19" s="15"/>
    </row>
    <row r="20" spans="1:10" x14ac:dyDescent="0.25">
      <c r="A20" s="15">
        <v>19</v>
      </c>
      <c r="B20" s="21">
        <v>20160312</v>
      </c>
      <c r="C20" s="1" t="s">
        <v>373</v>
      </c>
      <c r="D20" s="4"/>
      <c r="E20" s="9"/>
      <c r="F20" s="2"/>
      <c r="G20" s="8">
        <f>Table1534[[#This Row],[GK]]*0.3+Table1534[[#This Row],[CK]]*0.7</f>
        <v>0</v>
      </c>
      <c r="H20" s="12">
        <v>5</v>
      </c>
      <c r="I20" s="15"/>
      <c r="J20" s="15"/>
    </row>
    <row r="21" spans="1:10" x14ac:dyDescent="0.25">
      <c r="A21" s="15">
        <v>20</v>
      </c>
      <c r="B21" s="21">
        <v>20163219</v>
      </c>
      <c r="C21" s="1" t="s">
        <v>374</v>
      </c>
      <c r="D21" s="4"/>
      <c r="E21" s="9"/>
      <c r="F21" s="2"/>
      <c r="G21" s="8">
        <f>Table1534[[#This Row],[GK]]*0.3+Table1534[[#This Row],[CK]]*0.7</f>
        <v>0</v>
      </c>
      <c r="H21" s="12">
        <v>4</v>
      </c>
      <c r="I21" s="15"/>
      <c r="J21" s="15"/>
    </row>
  </sheetData>
  <phoneticPr fontId="8" type="noConversion"/>
  <hyperlinks>
    <hyperlink ref="D2" r:id="rId1" xr:uid="{C3D2B1A2-B020-4170-A40C-B7F36810B98D}"/>
    <hyperlink ref="D3" r:id="rId2" xr:uid="{AFAD9CBC-64C9-4F91-9081-1611ABFA1693}"/>
    <hyperlink ref="D6" r:id="rId3" xr:uid="{7917505D-9BB4-4347-A6F5-70B9CD2E19D6}"/>
    <hyperlink ref="D8" r:id="rId4" xr:uid="{C7740707-1D30-4555-935F-867A50F6387D}"/>
    <hyperlink ref="D4" r:id="rId5" xr:uid="{7813584C-A1A2-49A7-B344-D350D9C4A3CF}"/>
  </hyperlinks>
  <pageMargins left="0.7" right="0.7" top="0.75" bottom="0.75" header="0.3" footer="0.3"/>
  <pageSetup orientation="portrait" r:id="rId6"/>
  <drawing r:id="rId7"/>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96200-158A-4EB6-82E9-89377EDA0449}">
  <sheetPr codeName="Sheet9"/>
  <dimension ref="A1:J112"/>
  <sheetViews>
    <sheetView tabSelected="1" zoomScale="145" zoomScaleNormal="145" workbookViewId="0">
      <selection activeCell="D47" sqref="D47"/>
    </sheetView>
  </sheetViews>
  <sheetFormatPr defaultRowHeight="15" x14ac:dyDescent="0.25"/>
  <cols>
    <col min="2" max="2" width="10.7109375" bestFit="1" customWidth="1"/>
    <col min="3" max="3" width="22.7109375" bestFit="1" customWidth="1"/>
    <col min="4" max="4" width="16" customWidth="1"/>
    <col min="5" max="5" width="8.140625" style="7" bestFit="1" customWidth="1"/>
    <col min="6" max="6" width="5.5703125" bestFit="1" customWidth="1"/>
    <col min="7" max="7" width="8" customWidth="1"/>
    <col min="8" max="8" width="17.42578125" bestFit="1" customWidth="1"/>
    <col min="9" max="9" width="11.85546875" customWidth="1"/>
    <col min="10" max="10" width="43.85546875" customWidth="1"/>
  </cols>
  <sheetData>
    <row r="1" spans="1:10" s="22" customFormat="1" x14ac:dyDescent="0.25">
      <c r="A1" s="22" t="s">
        <v>6</v>
      </c>
      <c r="B1" s="23" t="s">
        <v>5</v>
      </c>
      <c r="C1" s="23" t="s">
        <v>0</v>
      </c>
      <c r="D1" s="22" t="s">
        <v>1</v>
      </c>
      <c r="E1" s="24" t="s">
        <v>2</v>
      </c>
      <c r="F1" s="22" t="s">
        <v>3</v>
      </c>
      <c r="G1" s="22" t="s">
        <v>4</v>
      </c>
      <c r="H1" s="25" t="s">
        <v>18</v>
      </c>
      <c r="I1" s="22" t="s">
        <v>29</v>
      </c>
      <c r="J1" s="22" t="s">
        <v>30</v>
      </c>
    </row>
    <row r="2" spans="1:10" hidden="1" x14ac:dyDescent="0.25">
      <c r="A2" s="15">
        <v>1</v>
      </c>
      <c r="B2" s="28">
        <v>20168347</v>
      </c>
      <c r="C2" s="29" t="s">
        <v>375</v>
      </c>
      <c r="D2" s="2"/>
      <c r="E2" s="30"/>
      <c r="F2" s="3"/>
      <c r="G2" s="5">
        <f>Table15342[[#This Row],[GK]]*0.3+Table15342[[#This Row],[CK]]*0.7</f>
        <v>0</v>
      </c>
      <c r="H2" s="12">
        <v>7</v>
      </c>
      <c r="I2" s="26"/>
      <c r="J2" s="15"/>
    </row>
    <row r="3" spans="1:10" x14ac:dyDescent="0.25">
      <c r="A3" s="15">
        <v>2</v>
      </c>
      <c r="B3" s="28">
        <v>20168652</v>
      </c>
      <c r="C3" s="29" t="s">
        <v>376</v>
      </c>
      <c r="D3" s="2"/>
      <c r="E3" s="30"/>
      <c r="F3" s="3"/>
      <c r="G3" s="5">
        <f>Table15342[[#This Row],[GK]]*0.3+Table15342[[#This Row],[CK]]*0.7</f>
        <v>0</v>
      </c>
      <c r="H3" s="12"/>
      <c r="I3" s="15"/>
      <c r="J3" s="15"/>
    </row>
    <row r="4" spans="1:10" hidden="1" x14ac:dyDescent="0.25">
      <c r="A4" s="15">
        <v>3</v>
      </c>
      <c r="B4" s="28">
        <v>20158119</v>
      </c>
      <c r="C4" s="29" t="s">
        <v>377</v>
      </c>
      <c r="D4" s="2"/>
      <c r="E4" s="30"/>
      <c r="F4" s="3"/>
      <c r="G4" s="5">
        <f>Table15342[[#This Row],[GK]]*0.3+Table15342[[#This Row],[CK]]*0.7</f>
        <v>0</v>
      </c>
      <c r="H4" s="12">
        <v>18</v>
      </c>
      <c r="I4" s="20"/>
      <c r="J4" s="15"/>
    </row>
    <row r="5" spans="1:10" x14ac:dyDescent="0.25">
      <c r="A5" s="15">
        <v>4</v>
      </c>
      <c r="B5" s="21">
        <v>20148983</v>
      </c>
      <c r="C5" s="1" t="s">
        <v>378</v>
      </c>
      <c r="D5" s="4"/>
      <c r="E5" s="9"/>
      <c r="F5" s="2"/>
      <c r="G5" s="8">
        <f>Table15342[[#This Row],[GK]]*0.3+Table15342[[#This Row],[CK]]*0.7</f>
        <v>0</v>
      </c>
      <c r="H5" s="12"/>
      <c r="I5" s="26"/>
      <c r="J5" s="15"/>
    </row>
    <row r="6" spans="1:10" hidden="1" x14ac:dyDescent="0.25">
      <c r="A6" s="15">
        <v>5</v>
      </c>
      <c r="B6" s="21">
        <v>20168497</v>
      </c>
      <c r="C6" s="1" t="s">
        <v>379</v>
      </c>
      <c r="D6" s="4"/>
      <c r="E6" s="9"/>
      <c r="F6" s="2"/>
      <c r="G6" s="8">
        <f>Table15342[[#This Row],[GK]]*0.3+Table15342[[#This Row],[CK]]*0.7</f>
        <v>0</v>
      </c>
      <c r="H6" s="12">
        <v>5</v>
      </c>
      <c r="I6" s="15"/>
      <c r="J6" s="15"/>
    </row>
    <row r="7" spans="1:10" x14ac:dyDescent="0.25">
      <c r="A7" s="15">
        <v>6</v>
      </c>
      <c r="B7" s="21">
        <v>20128568</v>
      </c>
      <c r="C7" s="1" t="s">
        <v>380</v>
      </c>
      <c r="D7" s="4"/>
      <c r="E7" s="9"/>
      <c r="F7" s="2"/>
      <c r="G7" s="8">
        <f>Table15342[[#This Row],[GK]]*0.3+Table15342[[#This Row],[CK]]*0.7</f>
        <v>0</v>
      </c>
      <c r="H7" s="12"/>
      <c r="I7" s="15"/>
      <c r="J7" s="15"/>
    </row>
    <row r="8" spans="1:10" hidden="1" x14ac:dyDescent="0.25">
      <c r="A8" s="15">
        <v>7</v>
      </c>
      <c r="B8" s="21">
        <v>20168411</v>
      </c>
      <c r="C8" s="1" t="s">
        <v>381</v>
      </c>
      <c r="D8" s="4"/>
      <c r="E8" s="9"/>
      <c r="F8" s="2"/>
      <c r="G8" s="8">
        <f>Table15342[[#This Row],[GK]]*0.3+Table15342[[#This Row],[CK]]*0.7</f>
        <v>0</v>
      </c>
      <c r="H8" s="12">
        <v>2</v>
      </c>
      <c r="I8" s="15"/>
      <c r="J8" s="15"/>
    </row>
    <row r="9" spans="1:10" hidden="1" x14ac:dyDescent="0.25">
      <c r="A9" s="15">
        <v>8</v>
      </c>
      <c r="B9" s="21">
        <v>20168425</v>
      </c>
      <c r="C9" s="1" t="s">
        <v>382</v>
      </c>
      <c r="D9" s="4"/>
      <c r="E9" s="9"/>
      <c r="F9" s="2"/>
      <c r="G9" s="8">
        <f>Table15342[[#This Row],[GK]]*0.3+Table15342[[#This Row],[CK]]*0.7</f>
        <v>0</v>
      </c>
      <c r="H9" s="12">
        <v>6</v>
      </c>
      <c r="I9" s="15"/>
      <c r="J9" s="15"/>
    </row>
    <row r="10" spans="1:10" hidden="1" x14ac:dyDescent="0.25">
      <c r="A10" s="15">
        <v>9</v>
      </c>
      <c r="B10" s="21">
        <v>20187178</v>
      </c>
      <c r="C10" s="1" t="s">
        <v>383</v>
      </c>
      <c r="D10" s="4"/>
      <c r="E10" s="9"/>
      <c r="F10" s="2"/>
      <c r="G10" s="8">
        <f>Table15342[[#This Row],[GK]]*0.3+Table15342[[#This Row],[CK]]*0.7</f>
        <v>0</v>
      </c>
      <c r="H10" s="12">
        <v>10</v>
      </c>
      <c r="I10" s="15"/>
      <c r="J10" s="15"/>
    </row>
    <row r="11" spans="1:10" x14ac:dyDescent="0.25">
      <c r="A11" s="15">
        <v>10</v>
      </c>
      <c r="B11" s="21">
        <v>20128571</v>
      </c>
      <c r="C11" s="1" t="s">
        <v>384</v>
      </c>
      <c r="D11" s="4"/>
      <c r="E11" s="9"/>
      <c r="F11" s="2"/>
      <c r="G11" s="8">
        <f>Table15342[[#This Row],[GK]]*0.3+Table15342[[#This Row],[CK]]*0.7</f>
        <v>0</v>
      </c>
      <c r="H11" s="12"/>
      <c r="I11" s="15"/>
      <c r="J11" s="15"/>
    </row>
    <row r="12" spans="1:10" hidden="1" x14ac:dyDescent="0.25">
      <c r="A12" s="15">
        <v>11</v>
      </c>
      <c r="B12" s="21">
        <v>20168774</v>
      </c>
      <c r="C12" s="1" t="s">
        <v>385</v>
      </c>
      <c r="D12" s="4"/>
      <c r="E12" s="9"/>
      <c r="F12" s="2"/>
      <c r="G12" s="8">
        <f>Table15342[[#This Row],[GK]]*0.3+Table15342[[#This Row],[CK]]*0.7</f>
        <v>0</v>
      </c>
      <c r="H12" s="12">
        <v>3</v>
      </c>
      <c r="I12" s="15"/>
      <c r="J12" s="15"/>
    </row>
    <row r="13" spans="1:10" s="2" customFormat="1" hidden="1" x14ac:dyDescent="0.25">
      <c r="A13" s="15">
        <v>12</v>
      </c>
      <c r="B13" s="21">
        <v>20168459</v>
      </c>
      <c r="C13" s="1" t="s">
        <v>386</v>
      </c>
      <c r="D13" s="4"/>
      <c r="E13" s="9"/>
      <c r="G13" s="8">
        <f>Table15342[[#This Row],[GK]]*0.3+Table15342[[#This Row],[CK]]*0.7</f>
        <v>0</v>
      </c>
      <c r="H13" s="12">
        <v>14</v>
      </c>
      <c r="I13" s="15"/>
      <c r="J13" s="15"/>
    </row>
    <row r="14" spans="1:10" s="2" customFormat="1" hidden="1" x14ac:dyDescent="0.25">
      <c r="A14" s="15">
        <v>13</v>
      </c>
      <c r="B14" s="21">
        <v>20168511</v>
      </c>
      <c r="C14" s="1" t="s">
        <v>387</v>
      </c>
      <c r="D14" s="4"/>
      <c r="E14" s="9"/>
      <c r="G14" s="8">
        <f>Table15342[[#This Row],[GK]]*0.3+Table15342[[#This Row],[CK]]*0.7</f>
        <v>0</v>
      </c>
      <c r="H14" s="12">
        <v>18</v>
      </c>
      <c r="I14" s="15"/>
      <c r="J14" s="15"/>
    </row>
    <row r="15" spans="1:10" s="2" customFormat="1" x14ac:dyDescent="0.25">
      <c r="A15" s="15">
        <v>14</v>
      </c>
      <c r="B15" s="32">
        <v>20168231</v>
      </c>
      <c r="C15" s="33" t="s">
        <v>388</v>
      </c>
      <c r="D15" s="4"/>
      <c r="E15" s="34"/>
      <c r="F15" s="10"/>
      <c r="G15" s="8">
        <f>Table15342[[#This Row],[GK]]*0.3+Table15342[[#This Row],[CK]]*0.7</f>
        <v>0</v>
      </c>
      <c r="H15" s="12"/>
      <c r="I15" s="27"/>
      <c r="J15" s="15"/>
    </row>
    <row r="16" spans="1:10" s="2" customFormat="1" x14ac:dyDescent="0.25">
      <c r="A16" s="15">
        <v>15</v>
      </c>
      <c r="B16" s="21">
        <v>20168597</v>
      </c>
      <c r="C16" s="1" t="s">
        <v>389</v>
      </c>
      <c r="D16" s="4"/>
      <c r="E16" s="9"/>
      <c r="G16" s="8">
        <f>Table15342[[#This Row],[GK]]*0.3+Table15342[[#This Row],[CK]]*0.7</f>
        <v>0</v>
      </c>
      <c r="H16" s="12"/>
      <c r="I16" s="15"/>
      <c r="J16" s="15"/>
    </row>
    <row r="17" spans="1:10" hidden="1" x14ac:dyDescent="0.25">
      <c r="A17" s="15">
        <v>16</v>
      </c>
      <c r="B17" s="21">
        <v>20168560</v>
      </c>
      <c r="C17" s="1" t="s">
        <v>390</v>
      </c>
      <c r="D17" s="4"/>
      <c r="E17" s="9"/>
      <c r="F17" s="2"/>
      <c r="G17" s="8">
        <f>Table15342[[#This Row],[GK]]*0.3+Table15342[[#This Row],[CK]]*0.7</f>
        <v>0</v>
      </c>
      <c r="H17" s="12">
        <v>18</v>
      </c>
      <c r="I17" s="15"/>
      <c r="J17" s="15"/>
    </row>
    <row r="18" spans="1:10" hidden="1" x14ac:dyDescent="0.25">
      <c r="A18" s="15">
        <v>17</v>
      </c>
      <c r="B18" s="21">
        <v>20187175</v>
      </c>
      <c r="C18" s="1" t="s">
        <v>391</v>
      </c>
      <c r="D18" s="4"/>
      <c r="E18" s="9"/>
      <c r="F18" s="2"/>
      <c r="G18" s="8">
        <f>Table15342[[#This Row],[GK]]*0.3+Table15342[[#This Row],[CK]]*0.7</f>
        <v>0</v>
      </c>
      <c r="H18" s="12">
        <v>10</v>
      </c>
      <c r="I18" s="26"/>
      <c r="J18" s="15"/>
    </row>
    <row r="19" spans="1:10" hidden="1" x14ac:dyDescent="0.25">
      <c r="A19" s="15">
        <v>18</v>
      </c>
      <c r="B19" s="21">
        <v>20168174</v>
      </c>
      <c r="C19" s="1" t="s">
        <v>392</v>
      </c>
      <c r="D19" s="4"/>
      <c r="E19" s="9"/>
      <c r="F19" s="2"/>
      <c r="G19" s="8">
        <f>Table15342[[#This Row],[GK]]*0.3+Table15342[[#This Row],[CK]]*0.7</f>
        <v>0</v>
      </c>
      <c r="H19" s="11">
        <v>9</v>
      </c>
      <c r="I19" s="27"/>
      <c r="J19" s="15"/>
    </row>
    <row r="20" spans="1:10" hidden="1" x14ac:dyDescent="0.25">
      <c r="A20" s="15">
        <v>19</v>
      </c>
      <c r="B20" s="21">
        <v>20168214</v>
      </c>
      <c r="C20" s="1" t="s">
        <v>393</v>
      </c>
      <c r="D20" s="4"/>
      <c r="E20" s="9"/>
      <c r="F20" s="2"/>
      <c r="G20" s="8">
        <f>Table15342[[#This Row],[GK]]*0.3+Table15342[[#This Row],[CK]]*0.7</f>
        <v>0</v>
      </c>
      <c r="H20" s="12">
        <v>3</v>
      </c>
      <c r="I20" s="15"/>
      <c r="J20" s="15"/>
    </row>
    <row r="21" spans="1:10" hidden="1" x14ac:dyDescent="0.25">
      <c r="A21" s="15">
        <v>20</v>
      </c>
      <c r="B21" s="21">
        <v>20168655</v>
      </c>
      <c r="C21" s="1" t="s">
        <v>394</v>
      </c>
      <c r="D21" s="4"/>
      <c r="E21" s="9"/>
      <c r="F21" s="2"/>
      <c r="G21" s="8">
        <f>Table15342[[#This Row],[GK]]*0.3+Table15342[[#This Row],[CK]]*0.7</f>
        <v>0</v>
      </c>
      <c r="H21" s="12">
        <v>2</v>
      </c>
      <c r="I21" s="15"/>
      <c r="J21" s="15"/>
    </row>
    <row r="22" spans="1:10" hidden="1" x14ac:dyDescent="0.25">
      <c r="A22" s="15">
        <v>21</v>
      </c>
      <c r="B22" s="35">
        <v>20187176</v>
      </c>
      <c r="C22" t="s">
        <v>395</v>
      </c>
      <c r="D22" s="4"/>
      <c r="E22" s="9"/>
      <c r="G22" s="8">
        <f>Table15342[[#This Row],[GK]]*0.3+Table15342[[#This Row],[CK]]*0.7</f>
        <v>0</v>
      </c>
      <c r="H22" s="15">
        <v>11</v>
      </c>
      <c r="I22" s="15"/>
      <c r="J22" s="15"/>
    </row>
    <row r="23" spans="1:10" hidden="1" x14ac:dyDescent="0.25">
      <c r="A23" s="15">
        <v>22</v>
      </c>
      <c r="B23" s="35">
        <v>20168228</v>
      </c>
      <c r="C23" t="s">
        <v>396</v>
      </c>
      <c r="D23" s="4"/>
      <c r="E23" s="9"/>
      <c r="G23" s="8">
        <f>Table15342[[#This Row],[GK]]*0.3+Table15342[[#This Row],[CK]]*0.7</f>
        <v>0</v>
      </c>
      <c r="H23" s="15">
        <v>3</v>
      </c>
      <c r="I23" s="15"/>
      <c r="J23" s="15"/>
    </row>
    <row r="24" spans="1:10" hidden="1" x14ac:dyDescent="0.25">
      <c r="A24" s="15">
        <v>23</v>
      </c>
      <c r="B24" s="35">
        <v>20187182</v>
      </c>
      <c r="C24" t="s">
        <v>384</v>
      </c>
      <c r="D24" s="4"/>
      <c r="E24" s="9"/>
      <c r="G24" s="8">
        <f>Table15342[[#This Row],[GK]]*0.3+Table15342[[#This Row],[CK]]*0.7</f>
        <v>0</v>
      </c>
      <c r="H24" s="15">
        <v>1</v>
      </c>
      <c r="I24" s="15"/>
      <c r="J24" s="15"/>
    </row>
    <row r="25" spans="1:10" hidden="1" x14ac:dyDescent="0.25">
      <c r="A25" s="15">
        <v>24</v>
      </c>
      <c r="B25" s="35">
        <v>20168075</v>
      </c>
      <c r="C25" t="s">
        <v>397</v>
      </c>
      <c r="D25" s="4"/>
      <c r="E25" s="9"/>
      <c r="G25" s="8">
        <f>Table15342[[#This Row],[GK]]*0.3+Table15342[[#This Row],[CK]]*0.7</f>
        <v>0</v>
      </c>
      <c r="H25" s="15">
        <v>9</v>
      </c>
      <c r="I25" s="15"/>
      <c r="J25" s="15"/>
    </row>
    <row r="26" spans="1:10" hidden="1" x14ac:dyDescent="0.25">
      <c r="A26" s="15">
        <v>25</v>
      </c>
      <c r="B26" s="35">
        <v>20168031</v>
      </c>
      <c r="C26" t="s">
        <v>398</v>
      </c>
      <c r="D26" s="4"/>
      <c r="E26" s="9"/>
      <c r="G26" s="8">
        <f>Table15342[[#This Row],[GK]]*0.3+Table15342[[#This Row],[CK]]*0.7</f>
        <v>0</v>
      </c>
      <c r="H26" s="15">
        <v>9</v>
      </c>
      <c r="I26" s="15"/>
      <c r="J26" s="15"/>
    </row>
    <row r="27" spans="1:10" x14ac:dyDescent="0.25">
      <c r="A27" s="15">
        <v>26</v>
      </c>
      <c r="B27" s="35">
        <v>20148985</v>
      </c>
      <c r="C27" t="s">
        <v>399</v>
      </c>
      <c r="D27" s="4"/>
      <c r="E27" s="9"/>
      <c r="G27" s="8">
        <f>Table15342[[#This Row],[GK]]*0.3+Table15342[[#This Row],[CK]]*0.7</f>
        <v>0</v>
      </c>
      <c r="H27" s="15"/>
      <c r="I27" s="15"/>
      <c r="J27" s="15"/>
    </row>
    <row r="28" spans="1:10" x14ac:dyDescent="0.25">
      <c r="A28" s="15">
        <v>27</v>
      </c>
      <c r="B28" s="35">
        <v>20168278</v>
      </c>
      <c r="C28" t="s">
        <v>400</v>
      </c>
      <c r="D28" s="4"/>
      <c r="E28" s="9"/>
      <c r="G28" s="8">
        <f>Table15342[[#This Row],[GK]]*0.3+Table15342[[#This Row],[CK]]*0.7</f>
        <v>0</v>
      </c>
      <c r="H28" s="15"/>
      <c r="I28" s="15"/>
      <c r="J28" s="15"/>
    </row>
    <row r="29" spans="1:10" hidden="1" x14ac:dyDescent="0.25">
      <c r="A29" s="15">
        <v>28</v>
      </c>
      <c r="B29" s="35">
        <v>20187200</v>
      </c>
      <c r="C29" t="s">
        <v>401</v>
      </c>
      <c r="D29" s="4"/>
      <c r="E29" s="9"/>
      <c r="G29" s="8">
        <f>Table15342[[#This Row],[GK]]*0.3+Table15342[[#This Row],[CK]]*0.7</f>
        <v>0</v>
      </c>
      <c r="H29" s="15">
        <v>10</v>
      </c>
      <c r="I29" s="15"/>
      <c r="J29" s="15"/>
    </row>
    <row r="30" spans="1:10" hidden="1" x14ac:dyDescent="0.25">
      <c r="A30" s="15">
        <v>29</v>
      </c>
      <c r="B30" s="35">
        <v>20148981</v>
      </c>
      <c r="C30" t="s">
        <v>402</v>
      </c>
      <c r="D30" s="4"/>
      <c r="E30" s="9"/>
      <c r="G30" s="8">
        <f>Table15342[[#This Row],[GK]]*0.3+Table15342[[#This Row],[CK]]*0.7</f>
        <v>0</v>
      </c>
      <c r="H30" s="15">
        <v>9</v>
      </c>
      <c r="I30" s="15"/>
      <c r="J30" s="15"/>
    </row>
    <row r="31" spans="1:10" hidden="1" x14ac:dyDescent="0.25">
      <c r="A31" s="15">
        <v>30</v>
      </c>
      <c r="B31" s="35">
        <v>20168138</v>
      </c>
      <c r="C31" t="s">
        <v>403</v>
      </c>
      <c r="D31" s="4"/>
      <c r="E31" s="9"/>
      <c r="G31" s="8">
        <f>Table15342[[#This Row],[GK]]*0.3+Table15342[[#This Row],[CK]]*0.7</f>
        <v>0</v>
      </c>
      <c r="H31" s="15">
        <v>10</v>
      </c>
      <c r="I31" s="15"/>
      <c r="J31" s="15"/>
    </row>
    <row r="32" spans="1:10" hidden="1" x14ac:dyDescent="0.25">
      <c r="A32" s="15">
        <v>31</v>
      </c>
      <c r="B32" s="35">
        <v>20168326</v>
      </c>
      <c r="C32" t="s">
        <v>404</v>
      </c>
      <c r="D32" s="4"/>
      <c r="E32" s="9"/>
      <c r="G32" s="8">
        <f>Table15342[[#This Row],[GK]]*0.3+Table15342[[#This Row],[CK]]*0.7</f>
        <v>0</v>
      </c>
      <c r="H32" s="15">
        <v>7</v>
      </c>
      <c r="I32" s="15"/>
      <c r="J32" s="15"/>
    </row>
    <row r="33" spans="1:10" hidden="1" x14ac:dyDescent="0.25">
      <c r="A33" s="15">
        <v>32</v>
      </c>
      <c r="B33" s="35">
        <v>20168447</v>
      </c>
      <c r="C33" t="s">
        <v>405</v>
      </c>
      <c r="D33" s="4"/>
      <c r="E33" s="9"/>
      <c r="G33" s="8">
        <f>Table15342[[#This Row],[GK]]*0.3+Table15342[[#This Row],[CK]]*0.7</f>
        <v>0</v>
      </c>
      <c r="H33" s="15">
        <v>6</v>
      </c>
      <c r="I33" s="15"/>
      <c r="J33" s="15"/>
    </row>
    <row r="34" spans="1:10" hidden="1" x14ac:dyDescent="0.25">
      <c r="A34" s="15">
        <v>33</v>
      </c>
      <c r="B34" s="35">
        <v>20158056</v>
      </c>
      <c r="C34" t="s">
        <v>406</v>
      </c>
      <c r="D34" s="4"/>
      <c r="E34" s="9"/>
      <c r="G34" s="8">
        <f>Table15342[[#This Row],[GK]]*0.3+Table15342[[#This Row],[CK]]*0.7</f>
        <v>0</v>
      </c>
      <c r="H34" s="15">
        <v>8</v>
      </c>
      <c r="I34" s="15"/>
      <c r="J34" s="15"/>
    </row>
    <row r="35" spans="1:10" x14ac:dyDescent="0.25">
      <c r="A35" s="15">
        <v>34</v>
      </c>
      <c r="B35" s="35">
        <v>20148984</v>
      </c>
      <c r="C35" t="s">
        <v>407</v>
      </c>
      <c r="D35" s="4"/>
      <c r="E35" s="9"/>
      <c r="G35" s="8">
        <f>Table15342[[#This Row],[GK]]*0.3+Table15342[[#This Row],[CK]]*0.7</f>
        <v>0</v>
      </c>
      <c r="H35" s="15"/>
      <c r="I35" s="15"/>
      <c r="J35" s="15"/>
    </row>
    <row r="36" spans="1:10" hidden="1" x14ac:dyDescent="0.25">
      <c r="A36" s="15">
        <v>35</v>
      </c>
      <c r="B36" s="35">
        <v>20187163</v>
      </c>
      <c r="C36" t="s">
        <v>408</v>
      </c>
      <c r="D36" s="4"/>
      <c r="E36" s="9"/>
      <c r="G36" s="8">
        <f>Table15342[[#This Row],[GK]]*0.3+Table15342[[#This Row],[CK]]*0.7</f>
        <v>0</v>
      </c>
      <c r="H36" s="15">
        <v>1</v>
      </c>
      <c r="I36" s="15"/>
      <c r="J36" s="15"/>
    </row>
    <row r="37" spans="1:10" hidden="1" x14ac:dyDescent="0.25">
      <c r="A37" s="15">
        <v>36</v>
      </c>
      <c r="B37" s="35">
        <v>20168631</v>
      </c>
      <c r="C37" t="s">
        <v>409</v>
      </c>
      <c r="D37" s="4"/>
      <c r="E37" s="9"/>
      <c r="G37" s="8">
        <f>Table15342[[#This Row],[GK]]*0.3+Table15342[[#This Row],[CK]]*0.7</f>
        <v>0</v>
      </c>
      <c r="H37" s="15">
        <v>17</v>
      </c>
      <c r="I37" s="15"/>
      <c r="J37" s="15"/>
    </row>
    <row r="38" spans="1:10" hidden="1" x14ac:dyDescent="0.25">
      <c r="A38" s="15">
        <v>37</v>
      </c>
      <c r="B38" s="35">
        <v>20168806</v>
      </c>
      <c r="C38" t="s">
        <v>410</v>
      </c>
      <c r="D38" s="4"/>
      <c r="E38" s="9"/>
      <c r="G38" s="8">
        <f>Table15342[[#This Row],[GK]]*0.3+Table15342[[#This Row],[CK]]*0.7</f>
        <v>0</v>
      </c>
      <c r="H38" s="15">
        <v>5</v>
      </c>
      <c r="I38" s="15"/>
      <c r="J38" s="15"/>
    </row>
    <row r="39" spans="1:10" hidden="1" x14ac:dyDescent="0.25">
      <c r="A39" s="15">
        <v>38</v>
      </c>
      <c r="B39" s="35">
        <v>20187174</v>
      </c>
      <c r="C39" t="s">
        <v>23</v>
      </c>
      <c r="D39" s="4"/>
      <c r="E39" s="9"/>
      <c r="G39" s="8">
        <f>Table15342[[#This Row],[GK]]*0.3+Table15342[[#This Row],[CK]]*0.7</f>
        <v>0</v>
      </c>
      <c r="H39" s="15">
        <v>11</v>
      </c>
      <c r="I39" s="15"/>
      <c r="J39" s="15"/>
    </row>
    <row r="40" spans="1:10" hidden="1" x14ac:dyDescent="0.25">
      <c r="A40" s="15">
        <v>39</v>
      </c>
      <c r="B40" s="35">
        <v>20187170</v>
      </c>
      <c r="C40" t="s">
        <v>411</v>
      </c>
      <c r="D40" s="4"/>
      <c r="E40" s="9"/>
      <c r="G40" s="8">
        <f>Table15342[[#This Row],[GK]]*0.3+Table15342[[#This Row],[CK]]*0.7</f>
        <v>0</v>
      </c>
      <c r="H40" s="15">
        <v>10</v>
      </c>
      <c r="I40" s="15"/>
      <c r="J40" s="15"/>
    </row>
    <row r="41" spans="1:10" hidden="1" x14ac:dyDescent="0.25">
      <c r="A41" s="15">
        <v>40</v>
      </c>
      <c r="B41" s="35">
        <v>20168129</v>
      </c>
      <c r="C41" t="s">
        <v>412</v>
      </c>
      <c r="D41" s="4"/>
      <c r="E41" s="9"/>
      <c r="G41" s="8">
        <f>Table15342[[#This Row],[GK]]*0.3+Table15342[[#This Row],[CK]]*0.7</f>
        <v>0</v>
      </c>
      <c r="H41" s="15">
        <v>16</v>
      </c>
      <c r="I41" s="15"/>
      <c r="J41" s="15"/>
    </row>
    <row r="42" spans="1:10" hidden="1" x14ac:dyDescent="0.25">
      <c r="A42" s="15">
        <v>41</v>
      </c>
      <c r="B42" s="35">
        <v>20168680</v>
      </c>
      <c r="C42" t="s">
        <v>413</v>
      </c>
      <c r="D42" s="4"/>
      <c r="E42" s="9"/>
      <c r="G42" s="8">
        <f>Table15342[[#This Row],[GK]]*0.3+Table15342[[#This Row],[CK]]*0.7</f>
        <v>0</v>
      </c>
      <c r="H42" s="15">
        <v>17</v>
      </c>
      <c r="I42" s="15"/>
      <c r="J42" s="15"/>
    </row>
    <row r="43" spans="1:10" hidden="1" x14ac:dyDescent="0.25">
      <c r="A43" s="15">
        <v>42</v>
      </c>
      <c r="B43" s="35">
        <v>20187193</v>
      </c>
      <c r="C43" t="s">
        <v>414</v>
      </c>
      <c r="D43" s="4"/>
      <c r="E43" s="9"/>
      <c r="G43" s="8">
        <f>Table15342[[#This Row],[GK]]*0.3+Table15342[[#This Row],[CK]]*0.7</f>
        <v>0</v>
      </c>
      <c r="H43" s="15">
        <v>11</v>
      </c>
      <c r="I43" s="15"/>
      <c r="J43" s="15"/>
    </row>
    <row r="44" spans="1:10" hidden="1" x14ac:dyDescent="0.25">
      <c r="A44" s="15">
        <v>43</v>
      </c>
      <c r="B44" s="35">
        <v>20175988</v>
      </c>
      <c r="C44" t="s">
        <v>415</v>
      </c>
      <c r="D44" s="4"/>
      <c r="E44" s="9"/>
      <c r="G44" s="8">
        <f>Table15342[[#This Row],[GK]]*0.3+Table15342[[#This Row],[CK]]*0.7</f>
        <v>0</v>
      </c>
      <c r="H44" s="15">
        <v>1</v>
      </c>
      <c r="I44" s="15"/>
      <c r="J44" s="15"/>
    </row>
    <row r="45" spans="1:10" hidden="1" x14ac:dyDescent="0.25">
      <c r="A45" s="15">
        <v>44</v>
      </c>
      <c r="B45" s="35">
        <v>20168832</v>
      </c>
      <c r="C45" t="s">
        <v>416</v>
      </c>
      <c r="D45" s="4"/>
      <c r="E45" s="9"/>
      <c r="G45" s="8">
        <f>Table15342[[#This Row],[GK]]*0.3+Table15342[[#This Row],[CK]]*0.7</f>
        <v>0</v>
      </c>
      <c r="H45" s="15">
        <v>14</v>
      </c>
      <c r="I45" s="15"/>
      <c r="J45" s="15"/>
    </row>
    <row r="46" spans="1:10" hidden="1" x14ac:dyDescent="0.25">
      <c r="A46" s="15">
        <v>45</v>
      </c>
      <c r="B46" s="35">
        <v>20158412</v>
      </c>
      <c r="C46" t="s">
        <v>417</v>
      </c>
      <c r="D46" s="4"/>
      <c r="E46" s="9"/>
      <c r="G46" s="8">
        <f>Table15342[[#This Row],[GK]]*0.3+Table15342[[#This Row],[CK]]*0.7</f>
        <v>0</v>
      </c>
      <c r="H46" s="15">
        <v>15</v>
      </c>
      <c r="I46" s="15"/>
      <c r="J46" s="15"/>
    </row>
    <row r="47" spans="1:10" hidden="1" x14ac:dyDescent="0.25">
      <c r="A47" s="15">
        <v>46</v>
      </c>
      <c r="B47" s="35">
        <v>20158340</v>
      </c>
      <c r="C47" t="s">
        <v>418</v>
      </c>
      <c r="D47" s="4" t="s">
        <v>483</v>
      </c>
      <c r="E47" s="9"/>
      <c r="G47" s="8">
        <f>Table15342[[#This Row],[GK]]*0.3+Table15342[[#This Row],[CK]]*0.7</f>
        <v>0</v>
      </c>
      <c r="H47" s="15" t="s">
        <v>482</v>
      </c>
      <c r="I47" s="15"/>
      <c r="J47" s="15"/>
    </row>
    <row r="48" spans="1:10" hidden="1" x14ac:dyDescent="0.25">
      <c r="A48" s="15">
        <v>47</v>
      </c>
      <c r="B48" s="35">
        <v>20168756</v>
      </c>
      <c r="C48" t="s">
        <v>419</v>
      </c>
      <c r="D48" s="4"/>
      <c r="E48" s="9"/>
      <c r="G48" s="8">
        <f>Table15342[[#This Row],[GK]]*0.3+Table15342[[#This Row],[CK]]*0.7</f>
        <v>0</v>
      </c>
      <c r="H48" s="15">
        <v>12</v>
      </c>
      <c r="I48" s="15"/>
      <c r="J48" s="15"/>
    </row>
    <row r="49" spans="1:10" hidden="1" x14ac:dyDescent="0.25">
      <c r="A49" s="15">
        <v>48</v>
      </c>
      <c r="B49" s="35">
        <v>20168080</v>
      </c>
      <c r="C49" t="s">
        <v>8</v>
      </c>
      <c r="D49" s="4"/>
      <c r="E49" s="9"/>
      <c r="G49" s="8">
        <f>Table15342[[#This Row],[GK]]*0.3+Table15342[[#This Row],[CK]]*0.7</f>
        <v>0</v>
      </c>
      <c r="H49" s="15">
        <v>16</v>
      </c>
      <c r="I49" s="15"/>
      <c r="J49" s="15"/>
    </row>
    <row r="50" spans="1:10" hidden="1" x14ac:dyDescent="0.25">
      <c r="A50" s="15">
        <v>49</v>
      </c>
      <c r="B50" s="35">
        <v>20168685</v>
      </c>
      <c r="C50" t="s">
        <v>420</v>
      </c>
      <c r="D50" s="4"/>
      <c r="E50" s="9"/>
      <c r="G50" s="8">
        <f>Table15342[[#This Row],[GK]]*0.3+Table15342[[#This Row],[CK]]*0.7</f>
        <v>0</v>
      </c>
      <c r="H50" s="15">
        <v>15</v>
      </c>
      <c r="I50" s="15"/>
      <c r="J50" s="15"/>
    </row>
    <row r="51" spans="1:10" hidden="1" x14ac:dyDescent="0.25">
      <c r="A51" s="15">
        <v>50</v>
      </c>
      <c r="B51" s="35">
        <v>20168713</v>
      </c>
      <c r="C51" t="s">
        <v>421</v>
      </c>
      <c r="D51" s="4"/>
      <c r="E51" s="9"/>
      <c r="G51" s="8">
        <f>Table15342[[#This Row],[GK]]*0.3+Table15342[[#This Row],[CK]]*0.7</f>
        <v>0</v>
      </c>
      <c r="H51" s="15" t="s">
        <v>482</v>
      </c>
      <c r="I51" s="15"/>
      <c r="J51" s="15"/>
    </row>
    <row r="52" spans="1:10" hidden="1" x14ac:dyDescent="0.25">
      <c r="A52" s="15">
        <v>51</v>
      </c>
      <c r="B52" s="35">
        <v>20176027</v>
      </c>
      <c r="C52" t="s">
        <v>422</v>
      </c>
      <c r="D52" s="4"/>
      <c r="E52" s="9"/>
      <c r="G52" s="8">
        <f>Table15342[[#This Row],[GK]]*0.3+Table15342[[#This Row],[CK]]*0.7</f>
        <v>0</v>
      </c>
      <c r="H52" s="15">
        <v>4</v>
      </c>
      <c r="I52" s="15"/>
      <c r="J52" s="15"/>
    </row>
    <row r="53" spans="1:10" hidden="1" x14ac:dyDescent="0.25">
      <c r="A53" s="15">
        <v>52</v>
      </c>
      <c r="B53" s="35">
        <v>20168121</v>
      </c>
      <c r="C53" t="s">
        <v>423</v>
      </c>
      <c r="D53" s="4"/>
      <c r="E53" s="9"/>
      <c r="G53" s="8">
        <f>Table15342[[#This Row],[GK]]*0.3+Table15342[[#This Row],[CK]]*0.7</f>
        <v>0</v>
      </c>
      <c r="H53" s="15">
        <v>16</v>
      </c>
      <c r="I53" s="15"/>
      <c r="J53" s="15"/>
    </row>
    <row r="54" spans="1:10" x14ac:dyDescent="0.25">
      <c r="A54" s="15">
        <v>53</v>
      </c>
      <c r="B54" s="35">
        <v>20187162</v>
      </c>
      <c r="C54" t="s">
        <v>403</v>
      </c>
      <c r="D54" s="4"/>
      <c r="E54" s="9"/>
      <c r="G54" s="8">
        <f>Table15342[[#This Row],[GK]]*0.3+Table15342[[#This Row],[CK]]*0.7</f>
        <v>0</v>
      </c>
      <c r="H54" s="15"/>
      <c r="I54" s="15"/>
      <c r="J54" s="15"/>
    </row>
    <row r="55" spans="1:10" x14ac:dyDescent="0.25">
      <c r="A55" s="15">
        <v>54</v>
      </c>
      <c r="B55" s="35">
        <v>20168747</v>
      </c>
      <c r="C55" t="s">
        <v>424</v>
      </c>
      <c r="D55" s="4"/>
      <c r="E55" s="9"/>
      <c r="G55" s="8">
        <f>Table15342[[#This Row],[GK]]*0.3+Table15342[[#This Row],[CK]]*0.7</f>
        <v>0</v>
      </c>
      <c r="H55" s="15"/>
      <c r="I55" s="15"/>
      <c r="J55" s="15"/>
    </row>
    <row r="56" spans="1:10" hidden="1" x14ac:dyDescent="0.25">
      <c r="A56" s="15">
        <v>55</v>
      </c>
      <c r="B56" s="35">
        <v>20168781</v>
      </c>
      <c r="C56" t="s">
        <v>425</v>
      </c>
      <c r="D56" s="4"/>
      <c r="E56" s="9"/>
      <c r="G56" s="8">
        <f>Table15342[[#This Row],[GK]]*0.3+Table15342[[#This Row],[CK]]*0.7</f>
        <v>0</v>
      </c>
      <c r="H56" s="15">
        <v>3</v>
      </c>
      <c r="I56" s="15"/>
      <c r="J56" s="15"/>
    </row>
    <row r="57" spans="1:10" hidden="1" x14ac:dyDescent="0.25">
      <c r="A57" s="15">
        <v>56</v>
      </c>
      <c r="B57" s="35">
        <v>20168524</v>
      </c>
      <c r="C57" t="s">
        <v>426</v>
      </c>
      <c r="D57" s="4"/>
      <c r="E57" s="9"/>
      <c r="G57" s="8">
        <f>Table15342[[#This Row],[GK]]*0.3+Table15342[[#This Row],[CK]]*0.7</f>
        <v>0</v>
      </c>
      <c r="H57" s="15">
        <v>15</v>
      </c>
      <c r="I57" s="15"/>
      <c r="J57" s="15"/>
    </row>
    <row r="58" spans="1:10" hidden="1" x14ac:dyDescent="0.25">
      <c r="A58" s="15">
        <v>57</v>
      </c>
      <c r="B58" s="35">
        <v>20168813</v>
      </c>
      <c r="C58" t="s">
        <v>427</v>
      </c>
      <c r="D58" s="4"/>
      <c r="E58" s="9"/>
      <c r="G58" s="8">
        <f>Table15342[[#This Row],[GK]]*0.3+Table15342[[#This Row],[CK]]*0.7</f>
        <v>0</v>
      </c>
      <c r="H58" s="15">
        <v>6</v>
      </c>
      <c r="I58" s="15"/>
      <c r="J58" s="15"/>
    </row>
    <row r="59" spans="1:10" hidden="1" x14ac:dyDescent="0.25">
      <c r="A59" s="15">
        <v>58</v>
      </c>
      <c r="B59" s="35">
        <v>20168807</v>
      </c>
      <c r="C59" t="s">
        <v>428</v>
      </c>
      <c r="D59" s="4"/>
      <c r="E59" s="9"/>
      <c r="G59" s="8">
        <f>Table15342[[#This Row],[GK]]*0.3+Table15342[[#This Row],[CK]]*0.7</f>
        <v>0</v>
      </c>
      <c r="H59" s="15">
        <v>2</v>
      </c>
      <c r="I59" s="15"/>
      <c r="J59" s="15"/>
    </row>
    <row r="60" spans="1:10" hidden="1" x14ac:dyDescent="0.25">
      <c r="A60" s="15">
        <v>59</v>
      </c>
      <c r="B60" s="35">
        <v>20168815</v>
      </c>
      <c r="C60" t="s">
        <v>429</v>
      </c>
      <c r="D60" s="4"/>
      <c r="E60" s="9"/>
      <c r="G60" s="8">
        <f>Table15342[[#This Row],[GK]]*0.3+Table15342[[#This Row],[CK]]*0.7</f>
        <v>0</v>
      </c>
      <c r="H60" s="15">
        <v>14</v>
      </c>
      <c r="I60" s="15"/>
      <c r="J60" s="15"/>
    </row>
    <row r="61" spans="1:10" hidden="1" x14ac:dyDescent="0.25">
      <c r="A61" s="15">
        <v>60</v>
      </c>
      <c r="B61" s="35">
        <v>20168399</v>
      </c>
      <c r="C61" t="s">
        <v>430</v>
      </c>
      <c r="D61" s="4"/>
      <c r="E61" s="9"/>
      <c r="G61" s="8">
        <f>Table15342[[#This Row],[GK]]*0.3+Table15342[[#This Row],[CK]]*0.7</f>
        <v>0</v>
      </c>
      <c r="H61" s="15" t="s">
        <v>482</v>
      </c>
      <c r="I61" s="15"/>
      <c r="J61" s="15"/>
    </row>
    <row r="62" spans="1:10" hidden="1" x14ac:dyDescent="0.25">
      <c r="A62" s="15">
        <v>61</v>
      </c>
      <c r="B62" s="35">
        <v>20168852</v>
      </c>
      <c r="C62" t="s">
        <v>431</v>
      </c>
      <c r="D62" s="4"/>
      <c r="E62" s="9"/>
      <c r="G62" s="8">
        <f>Table15342[[#This Row],[GK]]*0.3+Table15342[[#This Row],[CK]]*0.7</f>
        <v>0</v>
      </c>
      <c r="H62" s="15">
        <v>8</v>
      </c>
      <c r="I62" s="15"/>
      <c r="J62" s="15"/>
    </row>
    <row r="63" spans="1:10" hidden="1" x14ac:dyDescent="0.25">
      <c r="A63" s="15">
        <v>62</v>
      </c>
      <c r="B63" s="35">
        <v>20168822</v>
      </c>
      <c r="C63" t="s">
        <v>432</v>
      </c>
      <c r="D63" s="4"/>
      <c r="E63" s="9"/>
      <c r="G63" s="8">
        <f>Table15342[[#This Row],[GK]]*0.3+Table15342[[#This Row],[CK]]*0.7</f>
        <v>0</v>
      </c>
      <c r="H63" s="15">
        <v>12</v>
      </c>
      <c r="I63" s="15"/>
      <c r="J63" s="15"/>
    </row>
    <row r="64" spans="1:10" hidden="1" x14ac:dyDescent="0.25">
      <c r="A64" s="15">
        <v>63</v>
      </c>
      <c r="B64" s="35">
        <v>20168509</v>
      </c>
      <c r="C64" t="s">
        <v>433</v>
      </c>
      <c r="D64" s="4"/>
      <c r="E64" s="9"/>
      <c r="G64" s="8">
        <f>Table15342[[#This Row],[GK]]*0.3+Table15342[[#This Row],[CK]]*0.7</f>
        <v>0</v>
      </c>
      <c r="H64" s="15">
        <v>15</v>
      </c>
      <c r="I64" s="15"/>
      <c r="J64" s="15"/>
    </row>
    <row r="65" spans="1:10" x14ac:dyDescent="0.25">
      <c r="A65" s="15">
        <v>64</v>
      </c>
      <c r="B65" s="35">
        <v>20168230</v>
      </c>
      <c r="C65" t="s">
        <v>434</v>
      </c>
      <c r="D65" s="4"/>
      <c r="E65" s="9"/>
      <c r="G65" s="8">
        <f>Table15342[[#This Row],[GK]]*0.3+Table15342[[#This Row],[CK]]*0.7</f>
        <v>0</v>
      </c>
      <c r="H65" s="15"/>
      <c r="I65" s="15"/>
      <c r="J65" s="15"/>
    </row>
    <row r="66" spans="1:10" hidden="1" x14ac:dyDescent="0.25">
      <c r="A66" s="15">
        <v>65</v>
      </c>
      <c r="B66" s="35">
        <v>20158292</v>
      </c>
      <c r="C66" t="s">
        <v>435</v>
      </c>
      <c r="D66" s="4"/>
      <c r="E66" s="9"/>
      <c r="G66" s="8">
        <f>Table15342[[#This Row],[GK]]*0.3+Table15342[[#This Row],[CK]]*0.7</f>
        <v>0</v>
      </c>
      <c r="H66" s="15">
        <v>17</v>
      </c>
      <c r="I66" s="15"/>
      <c r="J66" s="15"/>
    </row>
    <row r="67" spans="1:10" hidden="1" x14ac:dyDescent="0.25">
      <c r="A67" s="15">
        <v>66</v>
      </c>
      <c r="B67" s="35">
        <v>20168271</v>
      </c>
      <c r="C67" t="s">
        <v>436</v>
      </c>
      <c r="D67" s="4"/>
      <c r="E67" s="9"/>
      <c r="G67" s="8">
        <f>Table15342[[#This Row],[GK]]*0.3+Table15342[[#This Row],[CK]]*0.7</f>
        <v>0</v>
      </c>
      <c r="H67" s="15">
        <v>12</v>
      </c>
      <c r="I67" s="15"/>
      <c r="J67" s="15"/>
    </row>
    <row r="68" spans="1:10" hidden="1" x14ac:dyDescent="0.25">
      <c r="A68" s="15">
        <v>67</v>
      </c>
      <c r="B68" s="35">
        <v>20168267</v>
      </c>
      <c r="C68" t="s">
        <v>437</v>
      </c>
      <c r="D68" s="4"/>
      <c r="E68" s="9"/>
      <c r="G68" s="8">
        <f>Table15342[[#This Row],[GK]]*0.3+Table15342[[#This Row],[CK]]*0.7</f>
        <v>0</v>
      </c>
      <c r="H68" s="15">
        <v>5</v>
      </c>
      <c r="I68" s="15"/>
      <c r="J68" s="15"/>
    </row>
    <row r="69" spans="1:10" hidden="1" x14ac:dyDescent="0.25">
      <c r="A69" s="15">
        <v>68</v>
      </c>
      <c r="B69" s="35">
        <v>20168202</v>
      </c>
      <c r="C69" t="s">
        <v>438</v>
      </c>
      <c r="D69" s="4"/>
      <c r="E69" s="9"/>
      <c r="G69" s="8">
        <f>Table15342[[#This Row],[GK]]*0.3+Table15342[[#This Row],[CK]]*0.7</f>
        <v>0</v>
      </c>
      <c r="H69" s="15">
        <v>12</v>
      </c>
      <c r="I69" s="15"/>
      <c r="J69" s="15"/>
    </row>
    <row r="70" spans="1:10" hidden="1" x14ac:dyDescent="0.25">
      <c r="A70" s="15">
        <v>69</v>
      </c>
      <c r="B70" s="35">
        <v>20168618</v>
      </c>
      <c r="C70" t="s">
        <v>439</v>
      </c>
      <c r="D70" s="4"/>
      <c r="E70" s="9"/>
      <c r="G70" s="8">
        <f>Table15342[[#This Row],[GK]]*0.3+Table15342[[#This Row],[CK]]*0.7</f>
        <v>0</v>
      </c>
      <c r="H70" s="15">
        <v>17</v>
      </c>
      <c r="I70" s="15"/>
      <c r="J70" s="15"/>
    </row>
    <row r="71" spans="1:10" hidden="1" x14ac:dyDescent="0.25">
      <c r="A71" s="15">
        <v>70</v>
      </c>
      <c r="B71" s="35">
        <v>20176063</v>
      </c>
      <c r="C71" t="s">
        <v>440</v>
      </c>
      <c r="D71" s="4"/>
      <c r="E71" s="9"/>
      <c r="G71" s="8">
        <f>Table15342[[#This Row],[GK]]*0.3+Table15342[[#This Row],[CK]]*0.7</f>
        <v>0</v>
      </c>
      <c r="H71" s="15">
        <v>4</v>
      </c>
      <c r="I71" s="15"/>
      <c r="J71" s="15"/>
    </row>
    <row r="72" spans="1:10" x14ac:dyDescent="0.25">
      <c r="A72" s="15">
        <v>71</v>
      </c>
      <c r="B72" s="35">
        <v>20187215</v>
      </c>
      <c r="C72" t="s">
        <v>441</v>
      </c>
      <c r="D72" s="4"/>
      <c r="E72" s="9"/>
      <c r="G72" s="8">
        <f>Table15342[[#This Row],[GK]]*0.3+Table15342[[#This Row],[CK]]*0.7</f>
        <v>0</v>
      </c>
      <c r="H72" s="15"/>
      <c r="I72" s="15"/>
      <c r="J72" s="15"/>
    </row>
    <row r="73" spans="1:10" hidden="1" x14ac:dyDescent="0.25">
      <c r="A73" s="15">
        <v>72</v>
      </c>
      <c r="B73" s="35">
        <v>20168394</v>
      </c>
      <c r="C73" t="s">
        <v>442</v>
      </c>
      <c r="D73" s="4"/>
      <c r="E73" s="9"/>
      <c r="G73" s="8">
        <f>Table15342[[#This Row],[GK]]*0.3+Table15342[[#This Row],[CK]]*0.7</f>
        <v>0</v>
      </c>
      <c r="H73" s="15">
        <v>16</v>
      </c>
      <c r="I73" s="15"/>
      <c r="J73" s="15"/>
    </row>
    <row r="74" spans="1:10" hidden="1" x14ac:dyDescent="0.25">
      <c r="A74" s="15">
        <v>73</v>
      </c>
      <c r="B74" s="35">
        <v>20168619</v>
      </c>
      <c r="C74" t="s">
        <v>443</v>
      </c>
      <c r="D74" s="4"/>
      <c r="E74" s="9"/>
      <c r="G74" s="8">
        <f>Table15342[[#This Row],[GK]]*0.3+Table15342[[#This Row],[CK]]*0.7</f>
        <v>0</v>
      </c>
      <c r="H74" s="15">
        <v>2</v>
      </c>
      <c r="I74" s="15"/>
      <c r="J74" s="15"/>
    </row>
    <row r="75" spans="1:10" hidden="1" x14ac:dyDescent="0.25">
      <c r="A75" s="15">
        <v>74</v>
      </c>
      <c r="B75" s="35">
        <v>20168743</v>
      </c>
      <c r="C75" t="s">
        <v>444</v>
      </c>
      <c r="D75" s="4"/>
      <c r="E75" s="9"/>
      <c r="G75" s="8">
        <f>Table15342[[#This Row],[GK]]*0.3+Table15342[[#This Row],[CK]]*0.7</f>
        <v>0</v>
      </c>
      <c r="H75" s="15">
        <v>14</v>
      </c>
      <c r="I75" s="15"/>
      <c r="J75" s="15"/>
    </row>
    <row r="76" spans="1:10" hidden="1" x14ac:dyDescent="0.25">
      <c r="A76" s="15">
        <v>75</v>
      </c>
      <c r="B76" s="35">
        <v>20168215</v>
      </c>
      <c r="C76" t="s">
        <v>445</v>
      </c>
      <c r="D76" s="4"/>
      <c r="E76" s="9"/>
      <c r="G76" s="8">
        <f>Table15342[[#This Row],[GK]]*0.3+Table15342[[#This Row],[CK]]*0.7</f>
        <v>0</v>
      </c>
      <c r="H76" s="15">
        <v>7</v>
      </c>
      <c r="I76" s="15"/>
      <c r="J76" s="15"/>
    </row>
    <row r="77" spans="1:10" x14ac:dyDescent="0.25">
      <c r="A77" s="15">
        <v>76</v>
      </c>
      <c r="B77" s="35">
        <v>20158419</v>
      </c>
      <c r="C77" t="s">
        <v>446</v>
      </c>
      <c r="D77" s="4"/>
      <c r="E77" s="9"/>
      <c r="G77" s="8">
        <f>Table15342[[#This Row],[GK]]*0.3+Table15342[[#This Row],[CK]]*0.7</f>
        <v>0</v>
      </c>
      <c r="H77" s="15"/>
      <c r="I77" s="15"/>
      <c r="J77" s="15"/>
    </row>
    <row r="78" spans="1:10" hidden="1" x14ac:dyDescent="0.25">
      <c r="A78" s="15">
        <v>77</v>
      </c>
      <c r="B78" s="35">
        <v>20168179</v>
      </c>
      <c r="C78" t="s">
        <v>447</v>
      </c>
      <c r="D78" s="4"/>
      <c r="E78" s="9"/>
      <c r="G78" s="8">
        <f>Table15342[[#This Row],[GK]]*0.3+Table15342[[#This Row],[CK]]*0.7</f>
        <v>0</v>
      </c>
      <c r="H78" s="15">
        <v>7</v>
      </c>
      <c r="I78" s="15"/>
      <c r="J78" s="15"/>
    </row>
    <row r="79" spans="1:10" hidden="1" x14ac:dyDescent="0.25">
      <c r="A79" s="15">
        <v>78</v>
      </c>
      <c r="B79" s="35">
        <v>20168199</v>
      </c>
      <c r="C79" t="s">
        <v>448</v>
      </c>
      <c r="D79" s="4"/>
      <c r="E79" s="9"/>
      <c r="G79" s="8">
        <f>Table15342[[#This Row],[GK]]*0.3+Table15342[[#This Row],[CK]]*0.7</f>
        <v>0</v>
      </c>
      <c r="H79" s="15">
        <v>5</v>
      </c>
      <c r="I79" s="15"/>
      <c r="J79" s="15"/>
    </row>
    <row r="80" spans="1:10" hidden="1" x14ac:dyDescent="0.25">
      <c r="A80" s="15">
        <v>79</v>
      </c>
      <c r="B80" s="35">
        <v>20168823</v>
      </c>
      <c r="C80" t="s">
        <v>449</v>
      </c>
      <c r="D80" s="4"/>
      <c r="E80" s="9"/>
      <c r="G80" s="8">
        <f>Table15342[[#This Row],[GK]]*0.3+Table15342[[#This Row],[CK]]*0.7</f>
        <v>0</v>
      </c>
      <c r="H80" s="15">
        <v>6</v>
      </c>
      <c r="I80" s="15"/>
      <c r="J80" s="15"/>
    </row>
    <row r="81" spans="1:10" x14ac:dyDescent="0.25">
      <c r="A81" s="15">
        <v>80</v>
      </c>
      <c r="B81" s="35">
        <v>20158998</v>
      </c>
      <c r="C81" t="s">
        <v>450</v>
      </c>
      <c r="D81" s="4"/>
      <c r="E81" s="9"/>
      <c r="G81" s="8">
        <f>Table15342[[#This Row],[GK]]*0.3+Table15342[[#This Row],[CK]]*0.7</f>
        <v>0</v>
      </c>
      <c r="H81" s="15"/>
      <c r="I81" s="15"/>
      <c r="J81" s="15"/>
    </row>
    <row r="82" spans="1:10" hidden="1" x14ac:dyDescent="0.25">
      <c r="A82" s="15">
        <v>81</v>
      </c>
      <c r="B82" s="35">
        <v>20187167</v>
      </c>
      <c r="C82" t="s">
        <v>451</v>
      </c>
      <c r="D82" s="4"/>
      <c r="E82" s="9"/>
      <c r="G82" s="8">
        <f>Table15342[[#This Row],[GK]]*0.3+Table15342[[#This Row],[CK]]*0.7</f>
        <v>0</v>
      </c>
      <c r="H82" s="15">
        <v>11</v>
      </c>
      <c r="I82" s="15"/>
      <c r="J82" s="15"/>
    </row>
    <row r="83" spans="1:10" hidden="1" x14ac:dyDescent="0.25">
      <c r="A83" s="15">
        <v>82</v>
      </c>
      <c r="B83" s="35">
        <v>20158259</v>
      </c>
      <c r="C83" t="s">
        <v>452</v>
      </c>
      <c r="D83" s="4"/>
      <c r="E83" s="9"/>
      <c r="G83" s="8">
        <f>Table15342[[#This Row],[GK]]*0.3+Table15342[[#This Row],[CK]]*0.7</f>
        <v>0</v>
      </c>
      <c r="H83" s="15">
        <v>18</v>
      </c>
      <c r="I83" s="15"/>
      <c r="J83" s="15"/>
    </row>
    <row r="84" spans="1:10" hidden="1" x14ac:dyDescent="0.25">
      <c r="A84" s="15">
        <v>83</v>
      </c>
      <c r="B84" s="35">
        <v>20168358</v>
      </c>
      <c r="C84" t="s">
        <v>453</v>
      </c>
      <c r="D84" s="4"/>
      <c r="E84" s="9"/>
      <c r="G84" s="8">
        <f>Table15342[[#This Row],[GK]]*0.3+Table15342[[#This Row],[CK]]*0.7</f>
        <v>0</v>
      </c>
      <c r="H84" s="15">
        <v>8</v>
      </c>
      <c r="I84" s="15"/>
      <c r="J84" s="15"/>
    </row>
    <row r="85" spans="1:10" hidden="1" x14ac:dyDescent="0.25">
      <c r="A85" s="15">
        <v>84</v>
      </c>
      <c r="B85" s="35">
        <v>20187199</v>
      </c>
      <c r="C85" t="s">
        <v>454</v>
      </c>
      <c r="D85" s="4"/>
      <c r="E85" s="9"/>
      <c r="G85" s="8">
        <f>Table15342[[#This Row],[GK]]*0.3+Table15342[[#This Row],[CK]]*0.7</f>
        <v>0</v>
      </c>
      <c r="H85" s="15">
        <v>1</v>
      </c>
      <c r="I85" s="15"/>
      <c r="J85" s="15"/>
    </row>
    <row r="86" spans="1:10" x14ac:dyDescent="0.25">
      <c r="A86" s="15">
        <v>85</v>
      </c>
      <c r="B86" s="35">
        <v>20176019</v>
      </c>
      <c r="C86" t="s">
        <v>455</v>
      </c>
      <c r="D86" s="4"/>
      <c r="E86" s="9"/>
      <c r="G86" s="8">
        <f>Table15342[[#This Row],[GK]]*0.3+Table15342[[#This Row],[CK]]*0.7</f>
        <v>0</v>
      </c>
      <c r="H86" s="15"/>
      <c r="I86" s="15"/>
      <c r="J86" s="15"/>
    </row>
    <row r="87" spans="1:10" hidden="1" x14ac:dyDescent="0.25">
      <c r="A87" s="15">
        <v>86</v>
      </c>
      <c r="B87" s="35">
        <v>20168122</v>
      </c>
      <c r="C87" t="s">
        <v>456</v>
      </c>
      <c r="D87" s="4"/>
      <c r="E87" s="9"/>
      <c r="G87" s="8">
        <f>Table15342[[#This Row],[GK]]*0.3+Table15342[[#This Row],[CK]]*0.7</f>
        <v>0</v>
      </c>
      <c r="H87" s="15">
        <v>8</v>
      </c>
      <c r="I87" s="15"/>
      <c r="J87" s="15"/>
    </row>
    <row r="89" spans="1:10" x14ac:dyDescent="0.25">
      <c r="A89" t="s">
        <v>481</v>
      </c>
    </row>
    <row r="90" spans="1:10" x14ac:dyDescent="0.25">
      <c r="A90">
        <v>1</v>
      </c>
      <c r="B90" s="20" t="s">
        <v>465</v>
      </c>
    </row>
    <row r="91" spans="1:10" x14ac:dyDescent="0.25">
      <c r="A91">
        <v>2</v>
      </c>
      <c r="B91" s="20" t="s">
        <v>463</v>
      </c>
    </row>
    <row r="92" spans="1:10" x14ac:dyDescent="0.25">
      <c r="A92">
        <v>3</v>
      </c>
      <c r="B92" s="20" t="s">
        <v>466</v>
      </c>
    </row>
    <row r="93" spans="1:10" x14ac:dyDescent="0.25">
      <c r="A93">
        <v>4</v>
      </c>
      <c r="B93" s="20" t="s">
        <v>467</v>
      </c>
    </row>
    <row r="94" spans="1:10" x14ac:dyDescent="0.25">
      <c r="A94">
        <v>5</v>
      </c>
      <c r="B94" s="20" t="s">
        <v>470</v>
      </c>
    </row>
    <row r="95" spans="1:10" x14ac:dyDescent="0.25">
      <c r="A95">
        <v>6</v>
      </c>
      <c r="B95" s="20" t="s">
        <v>471</v>
      </c>
    </row>
    <row r="96" spans="1:10" x14ac:dyDescent="0.25">
      <c r="A96">
        <v>7</v>
      </c>
      <c r="B96" s="20" t="s">
        <v>472</v>
      </c>
    </row>
    <row r="97" spans="1:2" x14ac:dyDescent="0.25">
      <c r="A97">
        <v>8</v>
      </c>
      <c r="B97" s="20" t="s">
        <v>473</v>
      </c>
    </row>
    <row r="98" spans="1:2" x14ac:dyDescent="0.25">
      <c r="A98">
        <v>9</v>
      </c>
      <c r="B98" s="20" t="s">
        <v>474</v>
      </c>
    </row>
    <row r="99" spans="1:2" x14ac:dyDescent="0.25">
      <c r="A99">
        <v>10</v>
      </c>
      <c r="B99" s="20" t="s">
        <v>475</v>
      </c>
    </row>
    <row r="100" spans="1:2" x14ac:dyDescent="0.25">
      <c r="A100">
        <v>11</v>
      </c>
      <c r="B100" s="20" t="s">
        <v>458</v>
      </c>
    </row>
    <row r="101" spans="1:2" x14ac:dyDescent="0.25">
      <c r="A101">
        <v>12</v>
      </c>
      <c r="B101" s="20" t="s">
        <v>459</v>
      </c>
    </row>
    <row r="102" spans="1:2" x14ac:dyDescent="0.25">
      <c r="A102">
        <v>13</v>
      </c>
      <c r="B102" s="20" t="s">
        <v>462</v>
      </c>
    </row>
    <row r="103" spans="1:2" x14ac:dyDescent="0.25">
      <c r="A103">
        <v>14</v>
      </c>
      <c r="B103" s="20" t="s">
        <v>469</v>
      </c>
    </row>
    <row r="104" spans="1:2" x14ac:dyDescent="0.25">
      <c r="A104">
        <v>15</v>
      </c>
      <c r="B104" s="20" t="s">
        <v>460</v>
      </c>
    </row>
    <row r="105" spans="1:2" x14ac:dyDescent="0.25">
      <c r="A105">
        <v>16</v>
      </c>
      <c r="B105" s="20" t="s">
        <v>468</v>
      </c>
    </row>
    <row r="106" spans="1:2" x14ac:dyDescent="0.25">
      <c r="A106">
        <v>17</v>
      </c>
      <c r="B106" s="20" t="s">
        <v>461</v>
      </c>
    </row>
    <row r="107" spans="1:2" x14ac:dyDescent="0.25">
      <c r="A107">
        <v>18</v>
      </c>
      <c r="B107" s="20" t="s">
        <v>464</v>
      </c>
    </row>
    <row r="108" spans="1:2" x14ac:dyDescent="0.25">
      <c r="A108">
        <v>19</v>
      </c>
      <c r="B108" s="20" t="s">
        <v>476</v>
      </c>
    </row>
    <row r="109" spans="1:2" x14ac:dyDescent="0.25">
      <c r="A109">
        <v>20</v>
      </c>
      <c r="B109" s="20" t="s">
        <v>477</v>
      </c>
    </row>
    <row r="110" spans="1:2" x14ac:dyDescent="0.25">
      <c r="A110">
        <v>21</v>
      </c>
      <c r="B110" s="20" t="s">
        <v>479</v>
      </c>
    </row>
    <row r="111" spans="1:2" x14ac:dyDescent="0.25">
      <c r="A111">
        <v>22</v>
      </c>
      <c r="B111" s="20" t="s">
        <v>478</v>
      </c>
    </row>
    <row r="112" spans="1:2" x14ac:dyDescent="0.25">
      <c r="A112">
        <v>23</v>
      </c>
      <c r="B112" s="20" t="s">
        <v>480</v>
      </c>
    </row>
  </sheetData>
  <hyperlinks>
    <hyperlink ref="B91" r:id="rId1" xr:uid="{83C7FDD1-6179-4F94-A84E-6AA21D310EC2}"/>
    <hyperlink ref="B107" r:id="rId2" xr:uid="{A0F4BCFF-B09C-471A-97A6-A7638FBC3419}"/>
    <hyperlink ref="B106" r:id="rId3" xr:uid="{6F8315D5-D9AF-431F-8E54-26DCDBB83166}"/>
    <hyperlink ref="B104" r:id="rId4" xr:uid="{99A30CAE-7275-4766-B8A6-AFC42F838364}"/>
    <hyperlink ref="B102" r:id="rId5" xr:uid="{845EEB30-40A4-4524-A49E-4A9A0EE6C37C}"/>
    <hyperlink ref="B101" r:id="rId6" xr:uid="{5611D5A7-BD89-4858-948B-9F6DE430EA13}"/>
    <hyperlink ref="B100" r:id="rId7" xr:uid="{7978E277-3B1F-4577-86A6-0DF5CEF83D6F}"/>
    <hyperlink ref="B90" r:id="rId8" xr:uid="{6EFE0971-7B68-47B2-9F5A-125160B60B3D}"/>
    <hyperlink ref="B92" r:id="rId9" xr:uid="{9DE2908E-C691-4B2B-BAF3-FE7E218126B0}"/>
    <hyperlink ref="B93" r:id="rId10" xr:uid="{CC671661-2CF5-48EF-9418-984C91DA207F}"/>
    <hyperlink ref="B105" r:id="rId11" xr:uid="{CCFC0256-2D12-49B2-BDC1-D548CF19BE6A}"/>
    <hyperlink ref="B103" r:id="rId12" xr:uid="{96F1ADBA-9592-482E-A68E-323244420E9F}"/>
    <hyperlink ref="B94" r:id="rId13" xr:uid="{E6C163B9-F4C7-496E-A22E-A319C0DAB3CF}"/>
    <hyperlink ref="B95" r:id="rId14" xr:uid="{9D8A1E5E-5D96-4C8B-9E6E-AC8D7C401F03}"/>
    <hyperlink ref="B96" r:id="rId15" xr:uid="{4CEF7E8B-4CFF-4E50-9E08-6C2F39FECD7A}"/>
    <hyperlink ref="B97" r:id="rId16" xr:uid="{F7C290EC-52F2-48FF-8C5A-34F4C602AE68}"/>
    <hyperlink ref="B98" r:id="rId17" xr:uid="{754DA389-B7F4-454B-B8C9-2F2EC07408FD}"/>
    <hyperlink ref="B99" r:id="rId18" xr:uid="{29418E4A-BED4-492B-9A29-E946F3B8BBF7}"/>
    <hyperlink ref="B108" r:id="rId19" xr:uid="{B4AA8150-37C7-471B-8EDA-D6C2C3ADF692}"/>
    <hyperlink ref="B109" r:id="rId20" xr:uid="{5D59763B-D5D2-4E1F-A2D0-2C8B588CA445}"/>
    <hyperlink ref="B111" r:id="rId21" xr:uid="{B6D26CB6-7AE9-4C84-875F-A0709C304C47}"/>
    <hyperlink ref="B110" r:id="rId22" xr:uid="{818B1E63-4A73-45AB-836C-7310AC32BAEA}"/>
    <hyperlink ref="B112" r:id="rId23" xr:uid="{07CFD423-FBBE-426C-875D-D24AD428C1DA}"/>
  </hyperlinks>
  <pageMargins left="0.7" right="0.7" top="0.75" bottom="0.75" header="0.3" footer="0.3"/>
  <pageSetup orientation="portrait" r:id="rId24"/>
  <drawing r:id="rId25"/>
  <tableParts count="1">
    <tablePart r:id="rId26"/>
  </tableParts>
  <extLst>
    <ext xmlns:x15="http://schemas.microsoft.com/office/spreadsheetml/2010/11/main" uri="{3A4CF648-6AED-40f4-86FF-DC5316D8AED3}">
      <x14:slicerList xmlns:x14="http://schemas.microsoft.com/office/spreadsheetml/2009/9/main">
        <x14:slicer r:id="rId2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SV</vt:lpstr>
      <vt:lpstr>Sheet1</vt:lpstr>
      <vt:lpstr>SV-QLDA-KTMT</vt:lpstr>
      <vt:lpstr>SV-QLDA-KTMT 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Duc Tien</dc:creator>
  <cp:lastModifiedBy>Nguyen Duc Tien</cp:lastModifiedBy>
  <dcterms:created xsi:type="dcterms:W3CDTF">2018-11-02T07:48:49Z</dcterms:created>
  <dcterms:modified xsi:type="dcterms:W3CDTF">2020-11-26T02:09:48Z</dcterms:modified>
</cp:coreProperties>
</file>